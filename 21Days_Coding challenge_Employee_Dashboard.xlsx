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264" activeTab="2"/>
  </bookViews>
  <sheets>
    <sheet name="Dataset" sheetId="1" r:id="rId1"/>
    <sheet name="Pivot_Table" sheetId="2" r:id="rId2"/>
    <sheet name="Dashboard" sheetId="4" r:id="rId3"/>
  </sheets>
  <definedNames>
    <definedName name="NativeTimeline_Date_of_Joining">#N/A</definedName>
    <definedName name="Slicer_Country">#N/A</definedName>
    <definedName name="Slicer_Department">#N/A</definedName>
    <definedName name="Slicer_Gende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 i="2" l="1"/>
  <c r="B112" i="2"/>
  <c r="M19" i="2"/>
  <c r="M10" i="2"/>
  <c r="B110" i="2"/>
  <c r="G25" i="1"/>
  <c r="G63" i="1"/>
  <c r="G57" i="1"/>
  <c r="G53" i="1"/>
  <c r="G59" i="1"/>
  <c r="G82" i="1"/>
  <c r="G24" i="1"/>
  <c r="G69" i="1"/>
  <c r="G8" i="1"/>
  <c r="G12" i="1"/>
  <c r="G79" i="1"/>
  <c r="G48" i="1"/>
  <c r="G60" i="1"/>
  <c r="G54" i="1"/>
  <c r="G21" i="1"/>
  <c r="G7" i="1"/>
  <c r="G42" i="1"/>
</calcChain>
</file>

<file path=xl/sharedStrings.xml><?xml version="1.0" encoding="utf-8"?>
<sst xmlns="http://schemas.openxmlformats.org/spreadsheetml/2006/main" count="588" uniqueCount="184">
  <si>
    <t>Employee ID</t>
  </si>
  <si>
    <t>Name</t>
  </si>
  <si>
    <t>Department</t>
  </si>
  <si>
    <t>Country</t>
  </si>
  <si>
    <t>Salary</t>
  </si>
  <si>
    <t>Date of Joining</t>
  </si>
  <si>
    <t>Performance Rating</t>
  </si>
  <si>
    <t>Gender</t>
  </si>
  <si>
    <t>Email</t>
  </si>
  <si>
    <t>EMP1001</t>
  </si>
  <si>
    <t>Eve Adams</t>
  </si>
  <si>
    <t>HR</t>
  </si>
  <si>
    <t>Germany</t>
  </si>
  <si>
    <t>Other</t>
  </si>
  <si>
    <t>user106@example.com</t>
  </si>
  <si>
    <t>EMP1002</t>
  </si>
  <si>
    <t>Alice Brown</t>
  </si>
  <si>
    <t>Finance</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</si>
  <si>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</si>
  <si>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</si>
  <si>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</si>
  <si>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</si>
  <si>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</si>
  <si>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</si>
  <si>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</si>
  <si>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</si>
  <si>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</si>
  <si>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</si>
  <si>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</si>
  <si>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</si>
  <si>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</si>
  <si>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</si>
  <si>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</si>
  <si>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EMP1008</t>
  </si>
  <si>
    <t>user25@example.com</t>
  </si>
  <si>
    <t>EMP1009</t>
  </si>
  <si>
    <t>Chris Lee</t>
  </si>
  <si>
    <t>UK</t>
  </si>
  <si>
    <t>user153@example.com</t>
  </si>
  <si>
    <t>EMP1010</t>
  </si>
  <si>
    <t>Sam Wilson</t>
  </si>
  <si>
    <t>user18@example.com</t>
  </si>
  <si>
    <t>EMP1011</t>
  </si>
  <si>
    <t>user1@example.com</t>
  </si>
  <si>
    <t>EMP1017</t>
  </si>
  <si>
    <t>Australia</t>
  </si>
  <si>
    <t>user38@example.com</t>
  </si>
  <si>
    <t>EMP1018</t>
  </si>
  <si>
    <t>user96@example.com</t>
  </si>
  <si>
    <t>EMP1022</t>
  </si>
  <si>
    <t>user128@example.com</t>
  </si>
  <si>
    <t>EMP1023</t>
  </si>
  <si>
    <t>Marketing</t>
  </si>
  <si>
    <t>user149@example.com</t>
  </si>
  <si>
    <t>EMP1026</t>
  </si>
  <si>
    <t>user68@example.com</t>
  </si>
  <si>
    <t>EMP1027</t>
  </si>
  <si>
    <t>user103@example.com</t>
  </si>
  <si>
    <t>EMP1028</t>
  </si>
  <si>
    <t>user135@example.com</t>
  </si>
  <si>
    <t>EMP1029</t>
  </si>
  <si>
    <t>Bob Johnson</t>
  </si>
  <si>
    <t>user83@example.com</t>
  </si>
  <si>
    <t>EMP1031</t>
  </si>
  <si>
    <t>user143@example.com</t>
  </si>
  <si>
    <t>EMP1034</t>
  </si>
  <si>
    <t>user198@example.com</t>
  </si>
  <si>
    <t>EMP1036</t>
  </si>
  <si>
    <t>user31@example.com</t>
  </si>
  <si>
    <t>EMP1038</t>
  </si>
  <si>
    <t>user154@example.com</t>
  </si>
  <si>
    <t>EMP1039</t>
  </si>
  <si>
    <t>user42@example.com</t>
  </si>
  <si>
    <t>EMP1041</t>
  </si>
  <si>
    <t>user47@example.com</t>
  </si>
  <si>
    <t>EMP1043</t>
  </si>
  <si>
    <t>user57@example.com</t>
  </si>
  <si>
    <t>EMP1046</t>
  </si>
  <si>
    <t>user199@example.com</t>
  </si>
  <si>
    <t>EMP1047</t>
  </si>
  <si>
    <t>user43@example.com</t>
  </si>
  <si>
    <t>EMP1049</t>
  </si>
  <si>
    <t>user89@example.com</t>
  </si>
  <si>
    <t>EMP1051</t>
  </si>
  <si>
    <t>user59@example.com</t>
  </si>
  <si>
    <t>EMP1053</t>
  </si>
  <si>
    <t>user200@example.com</t>
  </si>
  <si>
    <t>EMP1054</t>
  </si>
  <si>
    <t>user92@example.com</t>
  </si>
  <si>
    <t>EMP1056</t>
  </si>
  <si>
    <t>user63@example.com</t>
  </si>
  <si>
    <t>EMP1059</t>
  </si>
  <si>
    <t>user20@example.com</t>
  </si>
  <si>
    <t>EMP1062</t>
  </si>
  <si>
    <t>user71@example.com</t>
  </si>
  <si>
    <t>EMP1063</t>
  </si>
  <si>
    <t>user97@example.com</t>
  </si>
  <si>
    <t>EMP1064</t>
  </si>
  <si>
    <t>user141@example.com</t>
  </si>
  <si>
    <t>EMP1065</t>
  </si>
  <si>
    <t>user125@example.com</t>
  </si>
  <si>
    <t>EMP1067</t>
  </si>
  <si>
    <t>user192@example.com</t>
  </si>
  <si>
    <t>EMP1068</t>
  </si>
  <si>
    <t>user77@example.com</t>
  </si>
  <si>
    <t>EMP1069</t>
  </si>
  <si>
    <t>user65@example.com</t>
  </si>
  <si>
    <t>EMP1071</t>
  </si>
  <si>
    <t>user142@example.com</t>
  </si>
  <si>
    <t>EMP1072</t>
  </si>
  <si>
    <t>EMP1073</t>
  </si>
  <si>
    <t>EMP1076</t>
  </si>
  <si>
    <t>EMP1079</t>
  </si>
  <si>
    <t>user55@example.com</t>
  </si>
  <si>
    <t>EMP1081</t>
  </si>
  <si>
    <t>user156@example.com</t>
  </si>
  <si>
    <t>EMP1082</t>
  </si>
  <si>
    <t>user104@example.com</t>
  </si>
  <si>
    <t>EMP1083</t>
  </si>
  <si>
    <t>user145@example.com</t>
  </si>
  <si>
    <t>EMP1084</t>
  </si>
  <si>
    <t>EMP1086</t>
  </si>
  <si>
    <t>user177@example.com</t>
  </si>
  <si>
    <t>EMP1087</t>
  </si>
  <si>
    <t>EMP1091</t>
  </si>
  <si>
    <t>EMP1094</t>
  </si>
  <si>
    <t>user148@example.com</t>
  </si>
  <si>
    <t>EMP1095</t>
  </si>
  <si>
    <t>user155@example.com</t>
  </si>
  <si>
    <t>EMP1096</t>
  </si>
  <si>
    <t>user191@example.com</t>
  </si>
  <si>
    <t>EMP1097</t>
  </si>
  <si>
    <t>user113@example.com</t>
  </si>
  <si>
    <t>EMP1098</t>
  </si>
  <si>
    <t>user62@example.com</t>
  </si>
  <si>
    <t>EMP1099</t>
  </si>
  <si>
    <t>user76@example.com</t>
  </si>
  <si>
    <t>EMP1101</t>
  </si>
  <si>
    <t>EMP1102</t>
  </si>
  <si>
    <t>user54@example.com</t>
  </si>
  <si>
    <t>EMP1107</t>
  </si>
  <si>
    <t>EMP1111</t>
  </si>
  <si>
    <t>EMP1112</t>
  </si>
  <si>
    <t>EMP1113</t>
  </si>
  <si>
    <t>user82@example.com</t>
  </si>
  <si>
    <t>EMP1114</t>
  </si>
  <si>
    <t>EMP1115</t>
  </si>
  <si>
    <t>EMP1116</t>
  </si>
  <si>
    <t>EMP1118</t>
  </si>
  <si>
    <t>user23@example.com</t>
  </si>
  <si>
    <t>EMP1119</t>
  </si>
  <si>
    <t>EMP1121</t>
  </si>
  <si>
    <t>user132@example.com</t>
  </si>
  <si>
    <t>EMP1122</t>
  </si>
  <si>
    <t>user171@example.com</t>
  </si>
  <si>
    <t>EMP1127</t>
  </si>
  <si>
    <t>EMP1128</t>
  </si>
  <si>
    <t>user167@example.com</t>
  </si>
  <si>
    <t>EMP1131</t>
  </si>
  <si>
    <t>EMP1132</t>
  </si>
  <si>
    <t>user188@example.com</t>
  </si>
  <si>
    <t>EMP1133</t>
  </si>
  <si>
    <t>user44@example.com</t>
  </si>
  <si>
    <t>EMP1134</t>
  </si>
  <si>
    <t>EMP1136</t>
  </si>
  <si>
    <t>EMP1137</t>
  </si>
  <si>
    <t>user165@example.com</t>
  </si>
  <si>
    <t>EMP1138</t>
  </si>
  <si>
    <t>user3@example.com</t>
  </si>
  <si>
    <t>EMP1141</t>
  </si>
  <si>
    <t>EMP1143</t>
  </si>
  <si>
    <t>user114@example.com</t>
  </si>
  <si>
    <t>EMP1145</t>
  </si>
  <si>
    <t>EMP1146</t>
  </si>
  <si>
    <t>EMP1147</t>
  </si>
  <si>
    <t>user163@example.com</t>
  </si>
  <si>
    <t>EMP1149</t>
  </si>
  <si>
    <t>user30@example.com</t>
  </si>
  <si>
    <t>Count of Employee ID</t>
  </si>
  <si>
    <t>Average of Salary</t>
  </si>
  <si>
    <t>Grand Total</t>
  </si>
  <si>
    <t>Max of Salary</t>
  </si>
  <si>
    <t>Average of Performance Rating</t>
  </si>
  <si>
    <t>Sum of Salary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</si>
</sst>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quot;₹&quot;\ #,##0.00"/>
  </numFmts>
  <fonts count="3" x14ac:knownFonts="1">
    <font>
      <sz val="11"/>
      <color theme="1"/>
      <name val="Calibri"/>
      <family val="2"/>
      <scheme val="minor"/>
    </font>
    <font>
      <b/>
      <sz val="11"/>
      <color theme="1"/>
      <name val="Calibri"/>
      <family val="2"/>
      <scheme val="minor"/>
    </font>
    <font>
      <sz val="10"/>
      <color theme="1"/>
      <name val="Verdana"/>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165" fontId="0" fillId="0" borderId="0" xfId="0" applyNumberFormat="1"/>
    <xf numFmtId="0" fontId="0" fillId="2" borderId="0" xfId="0" applyFill="1"/>
    <xf numFmtId="0" fontId="2" fillId="2" borderId="0" xfId="0" applyFont="1" applyFill="1"/>
    <xf numFmtId="0" fontId="0" fillId="0" borderId="0" xfId="0" applyNumberFormat="1"/>
  </cellXfs>
  <cellStyles count="1">
    <cellStyle name="Normal" xfId="0" builtinId="0"/>
  </cellStyles>
  <dxfs count="12">
    <dxf>
      <numFmt numFmtId="30" formatCode="@"/>
    </dxf>
    <dxf>
      <numFmt numFmtId="30" formatCode="@"/>
    </dxf>
    <dxf>
      <numFmt numFmtId="164" formatCode="0.0"/>
    </dxf>
    <dxf>
      <numFmt numFmtId="166" formatCode="m/d/yyyy"/>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Gender</a:t>
            </a:r>
            <a:endParaRPr lang="en-US"/>
          </a:p>
        </c:rich>
      </c:tx>
      <c:layout>
        <c:manualLayout>
          <c:xMode val="edge"/>
          <c:yMode val="edge"/>
          <c:x val="2.3154452532540545E-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3">
              <a:lumMod val="50000"/>
            </a:schemeClr>
          </a:solidFill>
          <a:ln w="19050">
            <a:solidFill>
              <a:schemeClr val="lt1"/>
            </a:solidFill>
          </a:ln>
          <a:effectLst/>
        </c:spPr>
      </c:pivotFmt>
      <c:pivotFmt>
        <c:idx val="7"/>
        <c:spPr>
          <a:solidFill>
            <a:schemeClr val="accent3">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Pivot_Table!$E$11</c:f>
              <c:strCache>
                <c:ptCount val="1"/>
                <c:pt idx="0">
                  <c:v>Total</c:v>
                </c:pt>
              </c:strCache>
            </c:strRef>
          </c:tx>
          <c:dPt>
            <c:idx val="0"/>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0725-4F3D-BC27-24A3CBE3444F}"/>
              </c:ext>
            </c:extLst>
          </c:dPt>
          <c:dPt>
            <c:idx val="1"/>
            <c:bubble3D val="0"/>
            <c:spPr>
              <a:solidFill>
                <a:schemeClr val="accent3">
                  <a:lumMod val="20000"/>
                  <a:lumOff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0725-4F3D-BC27-24A3CBE3444F}"/>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0725-4F3D-BC27-24A3CBE3444F}"/>
              </c:ext>
            </c:extLst>
          </c:dPt>
          <c:cat>
            <c:strRef>
              <c:f>Pivot_Table!$D$12:$D$15</c:f>
              <c:strCache>
                <c:ptCount val="3"/>
                <c:pt idx="0">
                  <c:v>Female</c:v>
                </c:pt>
                <c:pt idx="1">
                  <c:v>Male</c:v>
                </c:pt>
                <c:pt idx="2">
                  <c:v>Other</c:v>
                </c:pt>
              </c:strCache>
            </c:strRef>
          </c:cat>
          <c:val>
            <c:numRef>
              <c:f>Pivot_Table!$E$12:$E$15</c:f>
              <c:numCache>
                <c:formatCode>General</c:formatCode>
                <c:ptCount val="3"/>
                <c:pt idx="0">
                  <c:v>23</c:v>
                </c:pt>
                <c:pt idx="1">
                  <c:v>20</c:v>
                </c:pt>
                <c:pt idx="2">
                  <c:v>42</c:v>
                </c:pt>
              </c:numCache>
            </c:numRef>
          </c:val>
          <c:extLst xmlns:c16r2="http://schemas.microsoft.com/office/drawing/2015/06/chart">
            <c:ext xmlns:c16="http://schemas.microsoft.com/office/drawing/2014/chart" uri="{C3380CC4-5D6E-409C-BE32-E72D297353CC}">
              <c16:uniqueId val="{00000006-0725-4F3D-BC27-24A3CBE344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count by Department</a:t>
            </a:r>
            <a:endParaRPr lang="en-IN"/>
          </a:p>
        </c:rich>
      </c:tx>
      <c:layout>
        <c:manualLayout>
          <c:xMode val="edge"/>
          <c:yMode val="edge"/>
          <c:x val="0.28487129967809527"/>
          <c:y val="2.01797246926417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solidFill>
              <a:schemeClr val="accent1"/>
            </a:solidFill>
          </a:ln>
          <a:effectLst/>
        </c:spPr>
        <c:marker>
          <c:symbol val="none"/>
        </c:marker>
      </c:pivotFmt>
    </c:pivotFmts>
    <c:plotArea>
      <c:layout/>
      <c:barChart>
        <c:barDir val="col"/>
        <c:grouping val="clustered"/>
        <c:varyColors val="0"/>
        <c:ser>
          <c:idx val="0"/>
          <c:order val="0"/>
          <c:tx>
            <c:strRef>
              <c:f>Pivot_Table!$B$9</c:f>
              <c:strCache>
                <c:ptCount val="1"/>
                <c:pt idx="0">
                  <c:v>Total</c:v>
                </c:pt>
              </c:strCache>
            </c:strRef>
          </c:tx>
          <c:spPr>
            <a:solidFill>
              <a:schemeClr val="accent3">
                <a:lumMod val="50000"/>
              </a:schemeClr>
            </a:solidFill>
            <a:ln>
              <a:solidFill>
                <a:schemeClr val="accent1"/>
              </a:solidFill>
            </a:ln>
            <a:effectLst/>
          </c:spPr>
          <c:invertIfNegative val="0"/>
          <c:cat>
            <c:strRef>
              <c:f>Pivot_Table!$A$10:$A$15</c:f>
              <c:strCache>
                <c:ptCount val="5"/>
                <c:pt idx="0">
                  <c:v>Finance</c:v>
                </c:pt>
                <c:pt idx="1">
                  <c:v>HR</c:v>
                </c:pt>
                <c:pt idx="2">
                  <c:v>IT</c:v>
                </c:pt>
                <c:pt idx="3">
                  <c:v>Marketing</c:v>
                </c:pt>
                <c:pt idx="4">
                  <c:v>Sales</c:v>
                </c:pt>
              </c:strCache>
            </c:strRef>
          </c:cat>
          <c:val>
            <c:numRef>
              <c:f>Pivot_Table!$B$10:$B$15</c:f>
              <c:numCache>
                <c:formatCode>General</c:formatCode>
                <c:ptCount val="5"/>
                <c:pt idx="0">
                  <c:v>15</c:v>
                </c:pt>
                <c:pt idx="1">
                  <c:v>16</c:v>
                </c:pt>
                <c:pt idx="2">
                  <c:v>17</c:v>
                </c:pt>
                <c:pt idx="3">
                  <c:v>18</c:v>
                </c:pt>
                <c:pt idx="4">
                  <c:v>19</c:v>
                </c:pt>
              </c:numCache>
            </c:numRef>
          </c:val>
          <c:extLst xmlns:c16r2="http://schemas.microsoft.com/office/drawing/2015/06/chart">
            <c:ext xmlns:c16="http://schemas.microsoft.com/office/drawing/2014/chart" uri="{C3380CC4-5D6E-409C-BE32-E72D297353CC}">
              <c16:uniqueId val="{00000000-5533-43DB-87EA-DDD89779E4DB}"/>
            </c:ext>
          </c:extLst>
        </c:ser>
        <c:dLbls>
          <c:showLegendKey val="0"/>
          <c:showVal val="0"/>
          <c:showCatName val="0"/>
          <c:showSerName val="0"/>
          <c:showPercent val="0"/>
          <c:showBubbleSize val="0"/>
        </c:dLbls>
        <c:gapWidth val="219"/>
        <c:overlap val="-27"/>
        <c:axId val="-106654960"/>
        <c:axId val="-106651696"/>
      </c:barChart>
      <c:catAx>
        <c:axId val="-10665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1696"/>
        <c:crosses val="autoZero"/>
        <c:auto val="1"/>
        <c:lblAlgn val="ctr"/>
        <c:lblOffset val="100"/>
        <c:noMultiLvlLbl val="0"/>
      </c:catAx>
      <c:valAx>
        <c:axId val="-10665169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49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Department</a:t>
            </a:r>
            <a:endParaRPr lang="en-US"/>
          </a:p>
        </c:rich>
      </c:tx>
      <c:layout>
        <c:manualLayout>
          <c:xMode val="edge"/>
          <c:yMode val="edge"/>
          <c:x val="0.2902165896832983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pivotFmt>
    </c:pivotFmts>
    <c:plotArea>
      <c:layout/>
      <c:barChart>
        <c:barDir val="col"/>
        <c:grouping val="stacked"/>
        <c:varyColors val="0"/>
        <c:ser>
          <c:idx val="0"/>
          <c:order val="0"/>
          <c:tx>
            <c:strRef>
              <c:f>Pivot_Table!$H$2</c:f>
              <c:strCache>
                <c:ptCount val="1"/>
                <c:pt idx="0">
                  <c:v>Total</c:v>
                </c:pt>
              </c:strCache>
            </c:strRef>
          </c:tx>
          <c:spPr>
            <a:solidFill>
              <a:schemeClr val="accent3">
                <a:lumMod val="75000"/>
              </a:schemeClr>
            </a:solidFill>
            <a:ln>
              <a:noFill/>
            </a:ln>
            <a:effectLst/>
          </c:spPr>
          <c:invertIfNegative val="0"/>
          <c:cat>
            <c:strRef>
              <c:f>Pivot_Table!$G$3:$G$8</c:f>
              <c:strCache>
                <c:ptCount val="5"/>
                <c:pt idx="0">
                  <c:v>Finance</c:v>
                </c:pt>
                <c:pt idx="1">
                  <c:v>HR</c:v>
                </c:pt>
                <c:pt idx="2">
                  <c:v>IT</c:v>
                </c:pt>
                <c:pt idx="3">
                  <c:v>Marketing</c:v>
                </c:pt>
                <c:pt idx="4">
                  <c:v>Sales</c:v>
                </c:pt>
              </c:strCache>
            </c:strRef>
          </c:cat>
          <c:val>
            <c:numRef>
              <c:f>Pivot_Table!$H$3:$H$8</c:f>
              <c:numCache>
                <c:formatCode>0.00</c:formatCode>
                <c:ptCount val="5"/>
                <c:pt idx="0">
                  <c:v>63185.4</c:v>
                </c:pt>
                <c:pt idx="1">
                  <c:v>64206.9375</c:v>
                </c:pt>
                <c:pt idx="2">
                  <c:v>66489.882352941175</c:v>
                </c:pt>
                <c:pt idx="3">
                  <c:v>62382.388888888891</c:v>
                </c:pt>
                <c:pt idx="4">
                  <c:v>67811.15789473684</c:v>
                </c:pt>
              </c:numCache>
            </c:numRef>
          </c:val>
          <c:extLst xmlns:c16r2="http://schemas.microsoft.com/office/drawing/2015/06/chart">
            <c:ext xmlns:c16="http://schemas.microsoft.com/office/drawing/2014/chart" uri="{C3380CC4-5D6E-409C-BE32-E72D297353CC}">
              <c16:uniqueId val="{00000000-5499-4B12-8501-E62D400BDFAC}"/>
            </c:ext>
          </c:extLst>
        </c:ser>
        <c:dLbls>
          <c:showLegendKey val="0"/>
          <c:showVal val="0"/>
          <c:showCatName val="0"/>
          <c:showSerName val="0"/>
          <c:showPercent val="0"/>
          <c:showBubbleSize val="0"/>
        </c:dLbls>
        <c:gapWidth val="150"/>
        <c:overlap val="100"/>
        <c:axId val="-106657680"/>
        <c:axId val="-106659856"/>
      </c:barChart>
      <c:catAx>
        <c:axId val="-10665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9856"/>
        <c:crosses val="autoZero"/>
        <c:auto val="1"/>
        <c:lblAlgn val="ctr"/>
        <c:lblOffset val="100"/>
        <c:noMultiLvlLbl val="0"/>
      </c:catAx>
      <c:valAx>
        <c:axId val="-10665985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Salary</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7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country</a:t>
            </a:r>
            <a:endParaRPr lang="en-US"/>
          </a:p>
        </c:rich>
      </c:tx>
      <c:layout>
        <c:manualLayout>
          <c:xMode val="edge"/>
          <c:yMode val="edge"/>
          <c:x val="1.9507929598903417E-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3">
              <a:lumMod val="50000"/>
            </a:schemeClr>
          </a:solidFill>
          <a:ln w="19050">
            <a:solidFill>
              <a:schemeClr val="bg1"/>
            </a:solidFill>
          </a:ln>
          <a:effectLst/>
        </c:spPr>
      </c:pivotFmt>
      <c:pivotFmt>
        <c:idx val="9"/>
        <c:spPr>
          <a:solidFill>
            <a:schemeClr val="accent3">
              <a:lumMod val="75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Pivot_Table!$H$19</c:f>
              <c:strCache>
                <c:ptCount val="1"/>
                <c:pt idx="0">
                  <c:v>Total</c:v>
                </c:pt>
              </c:strCache>
            </c:strRef>
          </c:tx>
          <c:dPt>
            <c:idx val="0"/>
            <c:bubble3D val="0"/>
            <c:spPr>
              <a:solidFill>
                <a:schemeClr val="accent3">
                  <a:lumMod val="50000"/>
                </a:schemeClr>
              </a:solidFill>
              <a:ln w="19050">
                <a:solidFill>
                  <a:schemeClr val="bg1"/>
                </a:solidFill>
              </a:ln>
              <a:effectLst/>
            </c:spPr>
            <c:extLst xmlns:c16r2="http://schemas.microsoft.com/office/drawing/2015/06/chart">
              <c:ext xmlns:c16="http://schemas.microsoft.com/office/drawing/2014/chart" uri="{C3380CC4-5D6E-409C-BE32-E72D297353CC}">
                <c16:uniqueId val="{00000001-EE83-4563-90FD-62E62EDB357D}"/>
              </c:ext>
            </c:extLst>
          </c:dPt>
          <c:dPt>
            <c:idx val="1"/>
            <c:bubble3D val="0"/>
            <c:spPr>
              <a:solidFill>
                <a:schemeClr val="accent3">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EE83-4563-90FD-62E62EDB357D}"/>
              </c:ext>
            </c:extLst>
          </c:dPt>
          <c:dPt>
            <c:idx val="2"/>
            <c:bubble3D val="0"/>
            <c:spPr>
              <a:solidFill>
                <a:schemeClr val="accent3">
                  <a:lumMod val="40000"/>
                  <a:lumOff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EE83-4563-90FD-62E62EDB357D}"/>
              </c:ext>
            </c:extLst>
          </c:dPt>
          <c:dPt>
            <c:idx val="3"/>
            <c:bubble3D val="0"/>
            <c:spPr>
              <a:solidFill>
                <a:schemeClr val="bg2">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EE83-4563-90FD-62E62EDB357D}"/>
              </c:ext>
            </c:extLst>
          </c:dPt>
          <c:dPt>
            <c:idx val="4"/>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9-EE83-4563-90FD-62E62EDB357D}"/>
              </c:ext>
            </c:extLst>
          </c:dPt>
          <c:cat>
            <c:strRef>
              <c:f>Pivot_Table!$G$20:$G$25</c:f>
              <c:strCache>
                <c:ptCount val="5"/>
                <c:pt idx="0">
                  <c:v>Australia</c:v>
                </c:pt>
                <c:pt idx="1">
                  <c:v>Germany</c:v>
                </c:pt>
                <c:pt idx="2">
                  <c:v>India</c:v>
                </c:pt>
                <c:pt idx="3">
                  <c:v>UK</c:v>
                </c:pt>
                <c:pt idx="4">
                  <c:v>USA</c:v>
                </c:pt>
              </c:strCache>
            </c:strRef>
          </c:cat>
          <c:val>
            <c:numRef>
              <c:f>Pivot_Table!$H$20:$H$25</c:f>
              <c:numCache>
                <c:formatCode>0.00</c:formatCode>
                <c:ptCount val="5"/>
                <c:pt idx="0">
                  <c:v>62113.230769230766</c:v>
                </c:pt>
                <c:pt idx="1">
                  <c:v>67576.444444444438</c:v>
                </c:pt>
                <c:pt idx="2">
                  <c:v>65963.850000000006</c:v>
                </c:pt>
                <c:pt idx="3">
                  <c:v>61072.375</c:v>
                </c:pt>
                <c:pt idx="4">
                  <c:v>66468.444444444438</c:v>
                </c:pt>
              </c:numCache>
            </c:numRef>
          </c:val>
          <c:extLst xmlns:c16r2="http://schemas.microsoft.com/office/drawing/2015/06/chart">
            <c:ext xmlns:c16="http://schemas.microsoft.com/office/drawing/2014/chart" uri="{C3380CC4-5D6E-409C-BE32-E72D297353CC}">
              <c16:uniqueId val="{0000000A-EE83-4563-90FD-62E62EDB35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060908249950033"/>
          <c:y val="0.36507946923301254"/>
          <c:w val="0.13597680699407325"/>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Perfomance Ratings</a:t>
            </a:r>
            <a:endParaRPr lang="en-US"/>
          </a:p>
        </c:rich>
      </c:tx>
      <c:layout>
        <c:manualLayout>
          <c:xMode val="edge"/>
          <c:yMode val="edge"/>
          <c:x val="0.40186059077843289"/>
          <c:y val="4.504283965728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60000"/>
              <a:lumOff val="40000"/>
            </a:schemeClr>
          </a:solidFill>
          <a:ln>
            <a:noFill/>
          </a:ln>
          <a:effectLst/>
        </c:spPr>
        <c:marker>
          <c:symbol val="none"/>
        </c:marker>
      </c:pivotFmt>
    </c:pivotFmts>
    <c:plotArea>
      <c:layout/>
      <c:barChart>
        <c:barDir val="bar"/>
        <c:grouping val="clustered"/>
        <c:varyColors val="0"/>
        <c:ser>
          <c:idx val="0"/>
          <c:order val="0"/>
          <c:tx>
            <c:strRef>
              <c:f>Pivot_Table!$K$2</c:f>
              <c:strCache>
                <c:ptCount val="1"/>
                <c:pt idx="0">
                  <c:v>Total</c:v>
                </c:pt>
              </c:strCache>
            </c:strRef>
          </c:tx>
          <c:spPr>
            <a:solidFill>
              <a:schemeClr val="accent3">
                <a:lumMod val="60000"/>
                <a:lumOff val="40000"/>
              </a:schemeClr>
            </a:solidFill>
            <a:ln>
              <a:noFill/>
            </a:ln>
            <a:effectLst/>
          </c:spPr>
          <c:invertIfNegative val="0"/>
          <c:cat>
            <c:strRef>
              <c:f>Pivot_Table!$J$3:$J$9</c:f>
              <c:strCache>
                <c:ptCount val="6"/>
                <c:pt idx="0">
                  <c:v>0.0</c:v>
                </c:pt>
                <c:pt idx="1">
                  <c:v>1.0</c:v>
                </c:pt>
                <c:pt idx="2">
                  <c:v>2.0</c:v>
                </c:pt>
                <c:pt idx="3">
                  <c:v>3.0</c:v>
                </c:pt>
                <c:pt idx="4">
                  <c:v>4.0</c:v>
                </c:pt>
                <c:pt idx="5">
                  <c:v>5.0</c:v>
                </c:pt>
              </c:strCache>
            </c:strRef>
          </c:cat>
          <c:val>
            <c:numRef>
              <c:f>Pivot_Table!$K$3:$K$9</c:f>
              <c:numCache>
                <c:formatCode>General</c:formatCode>
                <c:ptCount val="6"/>
                <c:pt idx="0">
                  <c:v>17</c:v>
                </c:pt>
                <c:pt idx="1">
                  <c:v>17</c:v>
                </c:pt>
                <c:pt idx="2">
                  <c:v>11</c:v>
                </c:pt>
                <c:pt idx="3">
                  <c:v>16</c:v>
                </c:pt>
                <c:pt idx="4">
                  <c:v>11</c:v>
                </c:pt>
                <c:pt idx="5">
                  <c:v>13</c:v>
                </c:pt>
              </c:numCache>
            </c:numRef>
          </c:val>
          <c:extLst xmlns:c16r2="http://schemas.microsoft.com/office/drawing/2015/06/chart">
            <c:ext xmlns:c16="http://schemas.microsoft.com/office/drawing/2014/chart" uri="{C3380CC4-5D6E-409C-BE32-E72D297353CC}">
              <c16:uniqueId val="{00000000-1701-42A6-B996-6D9BCCFBD2A5}"/>
            </c:ext>
          </c:extLst>
        </c:ser>
        <c:dLbls>
          <c:showLegendKey val="0"/>
          <c:showVal val="0"/>
          <c:showCatName val="0"/>
          <c:showSerName val="0"/>
          <c:showPercent val="0"/>
          <c:showBubbleSize val="0"/>
        </c:dLbls>
        <c:gapWidth val="182"/>
        <c:axId val="-106661488"/>
        <c:axId val="-106658224"/>
      </c:barChart>
      <c:catAx>
        <c:axId val="-106661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8224"/>
        <c:crosses val="autoZero"/>
        <c:auto val="1"/>
        <c:lblAlgn val="ctr"/>
        <c:lblOffset val="100"/>
        <c:noMultiLvlLbl val="0"/>
      </c:catAx>
      <c:valAx>
        <c:axId val="-106658224"/>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1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550516</xdr:colOff>
      <xdr:row>62</xdr:row>
      <xdr:rowOff>0</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86" t="2696" r="14928" b="2982"/>
        <a:stretch/>
      </xdr:blipFill>
      <xdr:spPr>
        <a:xfrm>
          <a:off x="0" y="0"/>
          <a:ext cx="17695516" cy="11811000"/>
        </a:xfrm>
        <a:prstGeom prst="rect">
          <a:avLst/>
        </a:prstGeom>
      </xdr:spPr>
    </xdr:pic>
    <xdr:clientData/>
  </xdr:twoCellAnchor>
  <xdr:twoCellAnchor>
    <xdr:from>
      <xdr:col>1</xdr:col>
      <xdr:colOff>342796</xdr:colOff>
      <xdr:row>18</xdr:row>
      <xdr:rowOff>78441</xdr:rowOff>
    </xdr:from>
    <xdr:to>
      <xdr:col>9</xdr:col>
      <xdr:colOff>484908</xdr:colOff>
      <xdr:row>33</xdr:row>
      <xdr:rowOff>0</xdr:rowOff>
    </xdr:to>
    <xdr:graphicFrame macro="">
      <xdr:nvGraphicFramePr>
        <xdr:cNvPr id="5" name="Chart 4">
          <a:extLst>
            <a:ext uri="{FF2B5EF4-FFF2-40B4-BE49-F238E27FC236}">
              <a16:creationId xmlns:a16="http://schemas.microsoft.com/office/drawing/2014/main" xmlns=""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288805</xdr:colOff>
      <xdr:row>18</xdr:row>
      <xdr:rowOff>122464</xdr:rowOff>
    </xdr:from>
    <xdr:to>
      <xdr:col>18</xdr:col>
      <xdr:colOff>268941</xdr:colOff>
      <xdr:row>35</xdr:row>
      <xdr:rowOff>67235</xdr:rowOff>
    </xdr:to>
    <xdr:graphicFrame macro="">
      <xdr:nvGraphicFramePr>
        <xdr:cNvPr id="6" name="Chart 5">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171653</xdr:colOff>
      <xdr:row>34</xdr:row>
      <xdr:rowOff>121227</xdr:rowOff>
    </xdr:from>
    <xdr:to>
      <xdr:col>8</xdr:col>
      <xdr:colOff>507830</xdr:colOff>
      <xdr:row>50</xdr:row>
      <xdr:rowOff>39962</xdr:rowOff>
    </xdr:to>
    <xdr:graphicFrame macro="">
      <xdr:nvGraphicFramePr>
        <xdr:cNvPr id="7" name="Chart 6">
          <a:extLst>
            <a:ext uri="{FF2B5EF4-FFF2-40B4-BE49-F238E27FC236}">
              <a16:creationId xmlns:a16="http://schemas.microsoft.com/office/drawing/2014/main" xmlns=""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12006</xdr:colOff>
      <xdr:row>18</xdr:row>
      <xdr:rowOff>168088</xdr:rowOff>
    </xdr:from>
    <xdr:to>
      <xdr:col>27</xdr:col>
      <xdr:colOff>179295</xdr:colOff>
      <xdr:row>34</xdr:row>
      <xdr:rowOff>7948</xdr:rowOff>
    </xdr:to>
    <xdr:graphicFrame macro="">
      <xdr:nvGraphicFramePr>
        <xdr:cNvPr id="8" name="Chart 7">
          <a:extLst>
            <a:ext uri="{FF2B5EF4-FFF2-40B4-BE49-F238E27FC236}">
              <a16:creationId xmlns:a16="http://schemas.microsoft.com/office/drawing/2014/main" xmlns=""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252132</xdr:colOff>
      <xdr:row>35</xdr:row>
      <xdr:rowOff>181767</xdr:rowOff>
    </xdr:from>
    <xdr:to>
      <xdr:col>26</xdr:col>
      <xdr:colOff>598714</xdr:colOff>
      <xdr:row>50</xdr:row>
      <xdr:rowOff>81642</xdr:rowOff>
    </xdr:to>
    <xdr:graphicFrame macro="">
      <xdr:nvGraphicFramePr>
        <xdr:cNvPr id="9" name="Chart 8">
          <a:extLst>
            <a:ext uri="{FF2B5EF4-FFF2-40B4-BE49-F238E27FC236}">
              <a16:creationId xmlns:a16="http://schemas.microsoft.com/office/drawing/2014/main" xmlns=""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503465</xdr:colOff>
      <xdr:row>1</xdr:row>
      <xdr:rowOff>80284</xdr:rowOff>
    </xdr:from>
    <xdr:to>
      <xdr:col>10</xdr:col>
      <xdr:colOff>557892</xdr:colOff>
      <xdr:row>8</xdr:row>
      <xdr:rowOff>149679</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xmlns=""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65072" y="270784"/>
              <a:ext cx="3116034" cy="1402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224518</xdr:colOff>
      <xdr:row>1</xdr:row>
      <xdr:rowOff>39460</xdr:rowOff>
    </xdr:from>
    <xdr:to>
      <xdr:col>18</xdr:col>
      <xdr:colOff>136071</xdr:colOff>
      <xdr:row>8</xdr:row>
      <xdr:rowOff>190499</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xmlns=""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60054" y="229960"/>
              <a:ext cx="4197803" cy="148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175966</xdr:colOff>
      <xdr:row>1</xdr:row>
      <xdr:rowOff>55542</xdr:rowOff>
    </xdr:from>
    <xdr:to>
      <xdr:col>5</xdr:col>
      <xdr:colOff>353785</xdr:colOff>
      <xdr:row>8</xdr:row>
      <xdr:rowOff>190499</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xmlns=""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8287" y="246042"/>
              <a:ext cx="2627105" cy="1468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200227</xdr:colOff>
      <xdr:row>51</xdr:row>
      <xdr:rowOff>68034</xdr:rowOff>
    </xdr:from>
    <xdr:to>
      <xdr:col>27</xdr:col>
      <xdr:colOff>149678</xdr:colOff>
      <xdr:row>58</xdr:row>
      <xdr:rowOff>27213</xdr:rowOff>
    </xdr:to>
    <mc:AlternateContent xmlns:mc="http://schemas.openxmlformats.org/markup-compatibility/2006" xmlns:tsle="http://schemas.microsoft.com/office/drawing/2012/timeslicer">
      <mc:Choice Requires="tsle">
        <xdr:graphicFrame macro="">
          <xdr:nvGraphicFramePr>
            <xdr:cNvPr id="13" name="Date of Joining">
              <a:extLst>
                <a:ext uri="{FF2B5EF4-FFF2-40B4-BE49-F238E27FC236}">
                  <a16:creationId xmlns:a16="http://schemas.microsoft.com/office/drawing/2014/main" xmlns="" id="{00000000-0008-0000-0200-00000D000000}"/>
                </a:ext>
              </a:extLst>
            </xdr:cNvPr>
            <xdr:cNvGraphicFramePr/>
          </xdr:nvGraphicFramePr>
          <xdr:xfrm>
            <a:off x="0" y="0"/>
            <a:ext cx="0" cy="0"/>
          </xdr:xfrm>
          <a:graphic>
            <a:graphicData uri="http://schemas.microsoft.com/office/drawing/2012/timeslicer">
              <tsle:timeslicer name="Date of Joining"/>
            </a:graphicData>
          </a:graphic>
        </xdr:graphicFrame>
      </mc:Choice>
      <mc:Fallback xmlns="">
        <xdr:sp macro="" textlink="">
          <xdr:nvSpPr>
            <xdr:cNvPr id="0" name=""/>
            <xdr:cNvSpPr>
              <a:spLocks noTextEdit="1"/>
            </xdr:cNvSpPr>
          </xdr:nvSpPr>
          <xdr:spPr>
            <a:xfrm>
              <a:off x="806363" y="9783534"/>
              <a:ext cx="15708997" cy="1292679"/>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17</xdr:col>
      <xdr:colOff>554183</xdr:colOff>
      <xdr:row>1</xdr:row>
      <xdr:rowOff>107617</xdr:rowOff>
    </xdr:from>
    <xdr:to>
      <xdr:col>29</xdr:col>
      <xdr:colOff>332509</xdr:colOff>
      <xdr:row>8</xdr:row>
      <xdr:rowOff>27708</xdr:rowOff>
    </xdr:to>
    <xdr:sp macro="" textlink="">
      <xdr:nvSpPr>
        <xdr:cNvPr id="14" name="TextBox 13">
          <a:extLst>
            <a:ext uri="{FF2B5EF4-FFF2-40B4-BE49-F238E27FC236}">
              <a16:creationId xmlns:a16="http://schemas.microsoft.com/office/drawing/2014/main" xmlns="" id="{00000000-0008-0000-0200-00000E000000}"/>
            </a:ext>
          </a:extLst>
        </xdr:cNvPr>
        <xdr:cNvSpPr txBox="1">
          <a:spLocks/>
        </xdr:cNvSpPr>
      </xdr:nvSpPr>
      <xdr:spPr>
        <a:xfrm>
          <a:off x="11152910" y="287726"/>
          <a:ext cx="7259781" cy="118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accent3">
                  <a:lumMod val="50000"/>
                </a:schemeClr>
              </a:solidFill>
              <a:latin typeface="Bahnschrift SemiBold Condensed" panose="020B0502040204020203" pitchFamily="34" charset="0"/>
            </a:rPr>
            <a:t>Employee</a:t>
          </a:r>
          <a:r>
            <a:rPr lang="en-IN" sz="6000" b="1" baseline="0">
              <a:solidFill>
                <a:schemeClr val="accent3">
                  <a:lumMod val="50000"/>
                </a:schemeClr>
              </a:solidFill>
              <a:latin typeface="Bahnschrift SemiBold Condensed" panose="020B0502040204020203" pitchFamily="34" charset="0"/>
            </a:rPr>
            <a:t> dashboard</a:t>
          </a:r>
          <a:endParaRPr lang="en-IN" sz="6000" b="1">
            <a:solidFill>
              <a:schemeClr val="accent3">
                <a:lumMod val="50000"/>
              </a:schemeClr>
            </a:solidFill>
            <a:latin typeface="Bahnschrift SemiBold Condensed" panose="020B0502040204020203" pitchFamily="34" charset="0"/>
          </a:endParaRPr>
        </a:p>
      </xdr:txBody>
    </xdr:sp>
    <xdr:clientData/>
  </xdr:twoCellAnchor>
  <xdr:twoCellAnchor>
    <xdr:from>
      <xdr:col>1</xdr:col>
      <xdr:colOff>299357</xdr:colOff>
      <xdr:row>10</xdr:row>
      <xdr:rowOff>108856</xdr:rowOff>
    </xdr:from>
    <xdr:to>
      <xdr:col>4</xdr:col>
      <xdr:colOff>530087</xdr:colOff>
      <xdr:row>12</xdr:row>
      <xdr:rowOff>107674</xdr:rowOff>
    </xdr:to>
    <xdr:sp macro="" textlink="">
      <xdr:nvSpPr>
        <xdr:cNvPr id="15" name="TextBox 14">
          <a:extLst>
            <a:ext uri="{FF2B5EF4-FFF2-40B4-BE49-F238E27FC236}">
              <a16:creationId xmlns:a16="http://schemas.microsoft.com/office/drawing/2014/main" xmlns="" id="{00000000-0008-0000-0200-00000F000000}"/>
            </a:ext>
          </a:extLst>
        </xdr:cNvPr>
        <xdr:cNvSpPr txBox="1"/>
      </xdr:nvSpPr>
      <xdr:spPr>
        <a:xfrm>
          <a:off x="912270" y="2013856"/>
          <a:ext cx="2069469" cy="37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accent3">
                  <a:lumMod val="50000"/>
                </a:schemeClr>
              </a:solidFill>
              <a:latin typeface="Arial" panose="020B0604020202020204" pitchFamily="34" charset="0"/>
              <a:cs typeface="Arial" panose="020B0604020202020204" pitchFamily="34" charset="0"/>
            </a:rPr>
            <a:t>Total Employees</a:t>
          </a:r>
        </a:p>
      </xdr:txBody>
    </xdr:sp>
    <xdr:clientData/>
  </xdr:twoCellAnchor>
  <xdr:twoCellAnchor>
    <xdr:from>
      <xdr:col>6</xdr:col>
      <xdr:colOff>156882</xdr:colOff>
      <xdr:row>10</xdr:row>
      <xdr:rowOff>89647</xdr:rowOff>
    </xdr:from>
    <xdr:to>
      <xdr:col>9</xdr:col>
      <xdr:colOff>280147</xdr:colOff>
      <xdr:row>11</xdr:row>
      <xdr:rowOff>156883</xdr:rowOff>
    </xdr:to>
    <xdr:sp macro="" textlink="">
      <xdr:nvSpPr>
        <xdr:cNvPr id="17" name="TextBox 16">
          <a:extLst>
            <a:ext uri="{FF2B5EF4-FFF2-40B4-BE49-F238E27FC236}">
              <a16:creationId xmlns:a16="http://schemas.microsoft.com/office/drawing/2014/main" xmlns="" id="{00000000-0008-0000-0200-000011000000}"/>
            </a:ext>
          </a:extLst>
        </xdr:cNvPr>
        <xdr:cNvSpPr txBox="1"/>
      </xdr:nvSpPr>
      <xdr:spPr>
        <a:xfrm>
          <a:off x="3787588" y="1994647"/>
          <a:ext cx="1938618"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salary</a:t>
          </a:r>
        </a:p>
      </xdr:txBody>
    </xdr:sp>
    <xdr:clientData/>
  </xdr:twoCellAnchor>
  <xdr:twoCellAnchor>
    <xdr:from>
      <xdr:col>11</xdr:col>
      <xdr:colOff>526676</xdr:colOff>
      <xdr:row>10</xdr:row>
      <xdr:rowOff>123263</xdr:rowOff>
    </xdr:from>
    <xdr:to>
      <xdr:col>16</xdr:col>
      <xdr:colOff>112059</xdr:colOff>
      <xdr:row>12</xdr:row>
      <xdr:rowOff>44823</xdr:rowOff>
    </xdr:to>
    <xdr:sp macro="" textlink="">
      <xdr:nvSpPr>
        <xdr:cNvPr id="20" name="TextBox 19">
          <a:extLst>
            <a:ext uri="{FF2B5EF4-FFF2-40B4-BE49-F238E27FC236}">
              <a16:creationId xmlns:a16="http://schemas.microsoft.com/office/drawing/2014/main" xmlns="" id="{00000000-0008-0000-0200-000014000000}"/>
            </a:ext>
          </a:extLst>
        </xdr:cNvPr>
        <xdr:cNvSpPr txBox="1"/>
      </xdr:nvSpPr>
      <xdr:spPr>
        <a:xfrm>
          <a:off x="7182970" y="2028263"/>
          <a:ext cx="2610971" cy="30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performance rating</a:t>
          </a:r>
        </a:p>
      </xdr:txBody>
    </xdr:sp>
    <xdr:clientData/>
  </xdr:twoCellAnchor>
  <xdr:twoCellAnchor>
    <xdr:from>
      <xdr:col>17</xdr:col>
      <xdr:colOff>380999</xdr:colOff>
      <xdr:row>10</xdr:row>
      <xdr:rowOff>123264</xdr:rowOff>
    </xdr:from>
    <xdr:to>
      <xdr:col>21</xdr:col>
      <xdr:colOff>134469</xdr:colOff>
      <xdr:row>12</xdr:row>
      <xdr:rowOff>11205</xdr:rowOff>
    </xdr:to>
    <xdr:sp macro="" textlink="">
      <xdr:nvSpPr>
        <xdr:cNvPr id="21" name="TextBox 20">
          <a:extLst>
            <a:ext uri="{FF2B5EF4-FFF2-40B4-BE49-F238E27FC236}">
              <a16:creationId xmlns:a16="http://schemas.microsoft.com/office/drawing/2014/main" xmlns="" id="{00000000-0008-0000-0200-000015000000}"/>
            </a:ext>
          </a:extLst>
        </xdr:cNvPr>
        <xdr:cNvSpPr txBox="1"/>
      </xdr:nvSpPr>
      <xdr:spPr>
        <a:xfrm>
          <a:off x="10667999" y="2028264"/>
          <a:ext cx="2173941"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Top Department</a:t>
          </a:r>
        </a:p>
      </xdr:txBody>
    </xdr:sp>
    <xdr:clientData/>
  </xdr:twoCellAnchor>
  <xdr:twoCellAnchor>
    <xdr:from>
      <xdr:col>23</xdr:col>
      <xdr:colOff>425823</xdr:colOff>
      <xdr:row>10</xdr:row>
      <xdr:rowOff>100853</xdr:rowOff>
    </xdr:from>
    <xdr:to>
      <xdr:col>26</xdr:col>
      <xdr:colOff>324970</xdr:colOff>
      <xdr:row>12</xdr:row>
      <xdr:rowOff>0</xdr:rowOff>
    </xdr:to>
    <xdr:sp macro="" textlink="">
      <xdr:nvSpPr>
        <xdr:cNvPr id="22" name="TextBox 21">
          <a:extLst>
            <a:ext uri="{FF2B5EF4-FFF2-40B4-BE49-F238E27FC236}">
              <a16:creationId xmlns:a16="http://schemas.microsoft.com/office/drawing/2014/main" xmlns="" id="{00000000-0008-0000-0200-000016000000}"/>
            </a:ext>
          </a:extLst>
        </xdr:cNvPr>
        <xdr:cNvSpPr txBox="1"/>
      </xdr:nvSpPr>
      <xdr:spPr>
        <a:xfrm>
          <a:off x="14343529" y="2005853"/>
          <a:ext cx="1714500"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Highest salary</a:t>
          </a:r>
        </a:p>
      </xdr:txBody>
    </xdr:sp>
    <xdr:clientData/>
  </xdr:twoCellAnchor>
  <xdr:twoCellAnchor>
    <xdr:from>
      <xdr:col>1</xdr:col>
      <xdr:colOff>493058</xdr:colOff>
      <xdr:row>12</xdr:row>
      <xdr:rowOff>112059</xdr:rowOff>
    </xdr:from>
    <xdr:to>
      <xdr:col>5</xdr:col>
      <xdr:colOff>89647</xdr:colOff>
      <xdr:row>15</xdr:row>
      <xdr:rowOff>156882</xdr:rowOff>
    </xdr:to>
    <xdr:sp macro="" textlink="">
      <xdr:nvSpPr>
        <xdr:cNvPr id="26" name="Rectangle 25">
          <a:extLst>
            <a:ext uri="{FF2B5EF4-FFF2-40B4-BE49-F238E27FC236}">
              <a16:creationId xmlns:a16="http://schemas.microsoft.com/office/drawing/2014/main" xmlns="" id="{00000000-0008-0000-0200-00001A000000}"/>
            </a:ext>
          </a:extLst>
        </xdr:cNvPr>
        <xdr:cNvSpPr/>
      </xdr:nvSpPr>
      <xdr:spPr>
        <a:xfrm>
          <a:off x="1098176" y="2398059"/>
          <a:ext cx="2017059" cy="6163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476252</xdr:colOff>
      <xdr:row>11</xdr:row>
      <xdr:rowOff>176892</xdr:rowOff>
    </xdr:from>
    <xdr:to>
      <xdr:col>3</xdr:col>
      <xdr:colOff>489859</xdr:colOff>
      <xdr:row>14</xdr:row>
      <xdr:rowOff>108857</xdr:rowOff>
    </xdr:to>
    <xdr:sp macro="" textlink="Pivot_Table!B110">
      <xdr:nvSpPr>
        <xdr:cNvPr id="4" name="Rounded Rectangle 3">
          <a:extLst>
            <a:ext uri="{FF2B5EF4-FFF2-40B4-BE49-F238E27FC236}">
              <a16:creationId xmlns:a16="http://schemas.microsoft.com/office/drawing/2014/main" xmlns="" id="{00000000-0008-0000-0200-000004000000}"/>
            </a:ext>
          </a:extLst>
        </xdr:cNvPr>
        <xdr:cNvSpPr/>
      </xdr:nvSpPr>
      <xdr:spPr>
        <a:xfrm>
          <a:off x="1700895" y="2272392"/>
          <a:ext cx="625928" cy="50346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C819C7-C775-4B25-A6E5-86AC8FC6D884}" type="TxLink">
            <a:rPr lang="en-US" sz="2800" b="0" i="0" u="none" strike="noStrike">
              <a:solidFill>
                <a:schemeClr val="accent3">
                  <a:lumMod val="50000"/>
                </a:schemeClr>
              </a:solidFill>
              <a:latin typeface="Calibri"/>
              <a:ea typeface="Calibri"/>
              <a:cs typeface="Calibri"/>
            </a:rPr>
            <a:pPr algn="l"/>
            <a:t>85</a:t>
          </a:fld>
          <a:endParaRPr lang="en-IN" sz="2800">
            <a:solidFill>
              <a:schemeClr val="accent3">
                <a:lumMod val="50000"/>
              </a:schemeClr>
            </a:solidFill>
          </a:endParaRPr>
        </a:p>
      </xdr:txBody>
    </xdr:sp>
    <xdr:clientData/>
  </xdr:twoCellAnchor>
  <xdr:twoCellAnchor>
    <xdr:from>
      <xdr:col>6</xdr:col>
      <xdr:colOff>571499</xdr:colOff>
      <xdr:row>11</xdr:row>
      <xdr:rowOff>190499</xdr:rowOff>
    </xdr:from>
    <xdr:to>
      <xdr:col>11</xdr:col>
      <xdr:colOff>285748</xdr:colOff>
      <xdr:row>15</xdr:row>
      <xdr:rowOff>40820</xdr:rowOff>
    </xdr:to>
    <xdr:sp macro="" textlink="Pivot_Table!M10">
      <xdr:nvSpPr>
        <xdr:cNvPr id="16" name="Rounded Rectangle 15">
          <a:extLst>
            <a:ext uri="{FF2B5EF4-FFF2-40B4-BE49-F238E27FC236}">
              <a16:creationId xmlns:a16="http://schemas.microsoft.com/office/drawing/2014/main" xmlns="" id="{00000000-0008-0000-0200-000010000000}"/>
            </a:ext>
          </a:extLst>
        </xdr:cNvPr>
        <xdr:cNvSpPr/>
      </xdr:nvSpPr>
      <xdr:spPr>
        <a:xfrm>
          <a:off x="4245428" y="2285999"/>
          <a:ext cx="2775856" cy="61232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E4B2979-C08C-4816-B89F-3DF0EEE4D209}" type="TxLink">
            <a:rPr lang="en-US" sz="2800" b="0" i="0" u="none" strike="noStrike">
              <a:solidFill>
                <a:schemeClr val="accent3">
                  <a:lumMod val="50000"/>
                </a:schemeClr>
              </a:solidFill>
              <a:latin typeface="Calibri"/>
              <a:ea typeface="Calibri"/>
              <a:cs typeface="Calibri"/>
            </a:rPr>
            <a:pPr algn="l"/>
            <a:t>₹ 64,902.53</a:t>
          </a:fld>
          <a:endParaRPr lang="en-US"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40823</xdr:colOff>
      <xdr:row>12</xdr:row>
      <xdr:rowOff>108857</xdr:rowOff>
    </xdr:from>
    <xdr:to>
      <xdr:col>14</xdr:col>
      <xdr:colOff>353786</xdr:colOff>
      <xdr:row>14</xdr:row>
      <xdr:rowOff>176893</xdr:rowOff>
    </xdr:to>
    <xdr:sp macro="" textlink="Pivot_Table!M19">
      <xdr:nvSpPr>
        <xdr:cNvPr id="18" name="TextBox 17">
          <a:extLst>
            <a:ext uri="{FF2B5EF4-FFF2-40B4-BE49-F238E27FC236}">
              <a16:creationId xmlns:a16="http://schemas.microsoft.com/office/drawing/2014/main" xmlns="" id="{00000000-0008-0000-0200-000012000000}"/>
            </a:ext>
          </a:extLst>
        </xdr:cNvPr>
        <xdr:cNvSpPr txBox="1"/>
      </xdr:nvSpPr>
      <xdr:spPr>
        <a:xfrm>
          <a:off x="8001002" y="2394857"/>
          <a:ext cx="92528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E479EE-8D45-47E9-A332-781A8A99CCC1}"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pPr/>
            <a:t>2.31</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18</xdr:col>
      <xdr:colOff>256063</xdr:colOff>
      <xdr:row>12</xdr:row>
      <xdr:rowOff>85353</xdr:rowOff>
    </xdr:from>
    <xdr:to>
      <xdr:col>22</xdr:col>
      <xdr:colOff>17319</xdr:colOff>
      <xdr:row>15</xdr:row>
      <xdr:rowOff>58138</xdr:rowOff>
    </xdr:to>
    <xdr:sp macro="" textlink="Pivot_Table!B111">
      <xdr:nvSpPr>
        <xdr:cNvPr id="19" name="TextBox 18">
          <a:extLst>
            <a:ext uri="{FF2B5EF4-FFF2-40B4-BE49-F238E27FC236}">
              <a16:creationId xmlns:a16="http://schemas.microsoft.com/office/drawing/2014/main" xmlns="" id="{00000000-0008-0000-0200-000013000000}"/>
            </a:ext>
          </a:extLst>
        </xdr:cNvPr>
        <xdr:cNvSpPr txBox="1"/>
      </xdr:nvSpPr>
      <xdr:spPr>
        <a:xfrm>
          <a:off x="11277849" y="2371353"/>
          <a:ext cx="2210541"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4A01A0-D5FA-4C6A-BB73-246B87ABDA45}"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pPr/>
            <a:t>Sales</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24</xdr:col>
      <xdr:colOff>204109</xdr:colOff>
      <xdr:row>12</xdr:row>
      <xdr:rowOff>108857</xdr:rowOff>
    </xdr:from>
    <xdr:to>
      <xdr:col>27</xdr:col>
      <xdr:colOff>353786</xdr:colOff>
      <xdr:row>15</xdr:row>
      <xdr:rowOff>27214</xdr:rowOff>
    </xdr:to>
    <xdr:sp macro="" textlink="Pivot_Table!B112">
      <xdr:nvSpPr>
        <xdr:cNvPr id="23" name="TextBox 22">
          <a:extLst>
            <a:ext uri="{FF2B5EF4-FFF2-40B4-BE49-F238E27FC236}">
              <a16:creationId xmlns:a16="http://schemas.microsoft.com/office/drawing/2014/main" xmlns="" id="{00000000-0008-0000-0200-000017000000}"/>
            </a:ext>
          </a:extLst>
        </xdr:cNvPr>
        <xdr:cNvSpPr txBox="1"/>
      </xdr:nvSpPr>
      <xdr:spPr>
        <a:xfrm>
          <a:off x="14899823" y="2394857"/>
          <a:ext cx="19866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3E659E-8B40-4363-AB6B-532C002ACB37}" type="TxLink">
            <a:rPr lang="en-US" sz="2400" b="0" i="0" u="none" strike="noStrike">
              <a:solidFill>
                <a:schemeClr val="accent3">
                  <a:lumMod val="50000"/>
                </a:schemeClr>
              </a:solidFill>
              <a:latin typeface="Arial" panose="020B0604020202020204" pitchFamily="34" charset="0"/>
              <a:ea typeface="Calibri"/>
              <a:cs typeface="Arial" panose="020B0604020202020204" pitchFamily="34" charset="0"/>
            </a:rPr>
            <a:pPr/>
            <a:t>₹ 99,621.00</a:t>
          </a:fld>
          <a:endParaRPr lang="en-IN" sz="24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17</xdr:col>
      <xdr:colOff>340182</xdr:colOff>
      <xdr:row>13</xdr:row>
      <xdr:rowOff>2</xdr:rowOff>
    </xdr:from>
    <xdr:to>
      <xdr:col>18</xdr:col>
      <xdr:colOff>95251</xdr:colOff>
      <xdr:row>14</xdr:row>
      <xdr:rowOff>176893</xdr:rowOff>
    </xdr:to>
    <xdr:pic>
      <xdr:nvPicPr>
        <xdr:cNvPr id="30" name="Picture 29">
          <a:extLst>
            <a:ext uri="{FF2B5EF4-FFF2-40B4-BE49-F238E27FC236}">
              <a16:creationId xmlns:a16="http://schemas.microsoft.com/office/drawing/2014/main" xmlns="" id="{00000000-0008-0000-0200-00001E000000}"/>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46" y="2476502"/>
          <a:ext cx="367391" cy="367391"/>
        </a:xfrm>
        <a:prstGeom prst="rect">
          <a:avLst/>
        </a:prstGeom>
        <a:noFill/>
        <a:ln>
          <a:noFill/>
        </a:ln>
      </xdr:spPr>
    </xdr:pic>
    <xdr:clientData/>
  </xdr:twoCellAnchor>
  <xdr:twoCellAnchor editAs="oneCell">
    <xdr:from>
      <xdr:col>12</xdr:col>
      <xdr:colOff>68038</xdr:colOff>
      <xdr:row>13</xdr:row>
      <xdr:rowOff>13611</xdr:rowOff>
    </xdr:from>
    <xdr:to>
      <xdr:col>12</xdr:col>
      <xdr:colOff>367393</xdr:colOff>
      <xdr:row>14</xdr:row>
      <xdr:rowOff>122466</xdr:rowOff>
    </xdr:to>
    <xdr:pic>
      <xdr:nvPicPr>
        <xdr:cNvPr id="31" name="Picture 30">
          <a:extLst>
            <a:ext uri="{FF2B5EF4-FFF2-40B4-BE49-F238E27FC236}">
              <a16:creationId xmlns:a16="http://schemas.microsoft.com/office/drawing/2014/main" xmlns="" id="{00000000-0008-0000-0200-00001F000000}"/>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7415895" y="2490111"/>
          <a:ext cx="299355" cy="299355"/>
        </a:xfrm>
        <a:prstGeom prst="rect">
          <a:avLst/>
        </a:prstGeom>
      </xdr:spPr>
    </xdr:pic>
    <xdr:clientData/>
  </xdr:twoCellAnchor>
  <xdr:twoCellAnchor editAs="oneCell">
    <xdr:from>
      <xdr:col>1</xdr:col>
      <xdr:colOff>462644</xdr:colOff>
      <xdr:row>12</xdr:row>
      <xdr:rowOff>108858</xdr:rowOff>
    </xdr:from>
    <xdr:to>
      <xdr:col>2</xdr:col>
      <xdr:colOff>244928</xdr:colOff>
      <xdr:row>14</xdr:row>
      <xdr:rowOff>122464</xdr:rowOff>
    </xdr:to>
    <xdr:pic>
      <xdr:nvPicPr>
        <xdr:cNvPr id="32" name="Picture 31">
          <a:extLst>
            <a:ext uri="{FF2B5EF4-FFF2-40B4-BE49-F238E27FC236}">
              <a16:creationId xmlns:a16="http://schemas.microsoft.com/office/drawing/2014/main" xmlns="" id="{00000000-0008-0000-0200-000020000000}"/>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5" y="2394858"/>
          <a:ext cx="394606" cy="394606"/>
        </a:xfrm>
        <a:prstGeom prst="rect">
          <a:avLst/>
        </a:prstGeom>
      </xdr:spPr>
    </xdr:pic>
    <xdr:clientData/>
  </xdr:twoCellAnchor>
  <xdr:twoCellAnchor editAs="oneCell">
    <xdr:from>
      <xdr:col>23</xdr:col>
      <xdr:colOff>476248</xdr:colOff>
      <xdr:row>13</xdr:row>
      <xdr:rowOff>40823</xdr:rowOff>
    </xdr:from>
    <xdr:to>
      <xdr:col>24</xdr:col>
      <xdr:colOff>176893</xdr:colOff>
      <xdr:row>14</xdr:row>
      <xdr:rowOff>163289</xdr:rowOff>
    </xdr:to>
    <xdr:pic>
      <xdr:nvPicPr>
        <xdr:cNvPr id="35" name="Picture 34">
          <a:extLst>
            <a:ext uri="{FF2B5EF4-FFF2-40B4-BE49-F238E27FC236}">
              <a16:creationId xmlns:a16="http://schemas.microsoft.com/office/drawing/2014/main" xmlns="" id="{00000000-0008-0000-0200-000023000000}"/>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4559641" y="2517323"/>
          <a:ext cx="312966" cy="312966"/>
        </a:xfrm>
        <a:prstGeom prst="rect">
          <a:avLst/>
        </a:prstGeom>
      </xdr:spPr>
    </xdr:pic>
    <xdr:clientData/>
  </xdr:twoCellAnchor>
  <xdr:twoCellAnchor editAs="oneCell">
    <xdr:from>
      <xdr:col>6</xdr:col>
      <xdr:colOff>136072</xdr:colOff>
      <xdr:row>12</xdr:row>
      <xdr:rowOff>176892</xdr:rowOff>
    </xdr:from>
    <xdr:to>
      <xdr:col>6</xdr:col>
      <xdr:colOff>449038</xdr:colOff>
      <xdr:row>14</xdr:row>
      <xdr:rowOff>108858</xdr:rowOff>
    </xdr:to>
    <xdr:pic>
      <xdr:nvPicPr>
        <xdr:cNvPr id="36" name="Picture 35">
          <a:extLst>
            <a:ext uri="{FF2B5EF4-FFF2-40B4-BE49-F238E27FC236}">
              <a16:creationId xmlns:a16="http://schemas.microsoft.com/office/drawing/2014/main" xmlns="" id="{00000000-0008-0000-0200-000024000000}"/>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810001" y="2462892"/>
          <a:ext cx="312966" cy="3129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smine s" refreshedDate="46155.782435879628" missingItemsLimit="0" createdVersion="8" refreshedVersion="8" minRefreshableVersion="3" recordCount="85">
  <cacheSource type="worksheet">
    <worksheetSource name="Table1"/>
  </cacheSource>
  <cacheFields count="9">
    <cacheField name="Employee ID" numFmtId="49">
      <sharedItems/>
    </cacheField>
    <cacheField name="Name" numFmtId="49">
      <sharedItems/>
    </cacheField>
    <cacheField name="Department" numFmtId="49">
      <sharedItems count="5">
        <s v="HR"/>
        <s v="Finance"/>
        <s v="Sales"/>
        <s v="IT"/>
        <s v="Marketing"/>
      </sharedItems>
    </cacheField>
    <cacheField name="Country" numFmtId="49">
      <sharedItems count="5">
        <s v="Germany"/>
        <s v="USA"/>
        <s v="India"/>
        <s v="UK"/>
        <s v="Australia"/>
      </sharedItems>
    </cacheField>
    <cacheField name="Salary" numFmtId="2">
      <sharedItems containsSemiMixedTypes="0" containsString="0" containsNumber="1" containsInteger="1" minValue="30402" maxValue="99621"/>
    </cacheField>
    <cacheField name="Date of Joining" numFmtId="14">
      <sharedItems containsSemiMixedTypes="0" containsNonDate="0" containsDate="1" containsString="0" minDate="2015-01-11T00:00:00" maxDate="2017-11-13T00:00:00" count="85">
        <d v="2015-01-11T00:00:00"/>
        <d v="2015-01-18T00:00:00"/>
        <d v="2015-01-25T00:00:00"/>
        <d v="2015-02-01T00:00:00"/>
        <d v="2015-02-08T00:00:00"/>
        <d v="2015-03-01T00:00:00"/>
        <d v="2015-03-08T00:00:00"/>
        <d v="2015-03-15T00:00:00"/>
        <d v="2015-03-22T00:00:00"/>
        <d v="2015-05-03T00:00:00"/>
        <d v="2015-05-10T00:00:00"/>
        <d v="2015-06-07T00:00:00"/>
        <d v="2015-06-14T00:00:00"/>
        <d v="2015-07-05T00:00:00"/>
        <d v="2015-07-12T00:00:00"/>
        <d v="2015-07-19T00:00:00"/>
        <d v="2015-07-26T00:00:00"/>
        <d v="2015-08-09T00:00:00"/>
        <d v="2015-08-30T00:00:00"/>
        <d v="2015-09-13T00:00:00"/>
        <d v="2015-09-27T00:00:00"/>
        <d v="2015-10-04T00:00:00"/>
        <d v="2015-10-18T00:00:00"/>
        <d v="2015-11-01T00:00:00"/>
        <d v="2015-11-22T00:00:00"/>
        <d v="2015-11-29T00:00:00"/>
        <d v="2015-12-13T00:00:00"/>
        <d v="2015-12-27T00:00:00"/>
        <d v="2016-01-10T00:00:00"/>
        <d v="2016-01-17T00:00:00"/>
        <d v="2016-01-31T00:00:00"/>
        <d v="2016-02-21T00:00:00"/>
        <d v="2016-03-13T00:00:00"/>
        <d v="2016-03-20T00:00:00"/>
        <d v="2016-03-27T00:00:00"/>
        <d v="2016-04-03T00:00:00"/>
        <d v="2016-04-17T00:00:00"/>
        <d v="2016-04-24T00:00:00"/>
        <d v="2016-05-01T00:00:00"/>
        <d v="2016-05-15T00:00:00"/>
        <d v="2016-05-22T00:00:00"/>
        <d v="2016-05-29T00:00:00"/>
        <d v="2016-06-19T00:00:00"/>
        <d v="2016-07-10T00:00:00"/>
        <d v="2016-07-24T00:00:00"/>
        <d v="2016-07-31T00:00:00"/>
        <d v="2016-08-07T00:00:00"/>
        <d v="2016-08-14T00:00:00"/>
        <d v="2016-08-28T00:00:00"/>
        <d v="2016-09-04T00:00:00"/>
        <d v="2016-10-02T00:00:00"/>
        <d v="2016-10-23T00:00:00"/>
        <d v="2016-10-30T00:00:00"/>
        <d v="2016-11-06T00:00:00"/>
        <d v="2016-11-13T00:00:00"/>
        <d v="2016-11-20T00:00:00"/>
        <d v="2016-11-27T00:00:00"/>
        <d v="2016-12-11T00:00:00"/>
        <d v="2016-12-18T00:00:00"/>
        <d v="2017-01-22T00:00:00"/>
        <d v="2017-02-19T00:00:00"/>
        <d v="2017-02-26T00:00:00"/>
        <d v="2017-03-05T00:00:00"/>
        <d v="2017-03-12T00:00:00"/>
        <d v="2017-03-19T00:00:00"/>
        <d v="2017-03-26T00:00:00"/>
        <d v="2017-04-09T00:00:00"/>
        <d v="2017-04-16T00:00:00"/>
        <d v="2017-04-30T00:00:00"/>
        <d v="2017-05-07T00:00:00"/>
        <d v="2017-06-11T00:00:00"/>
        <d v="2017-06-18T00:00:00"/>
        <d v="2017-07-09T00:00:00"/>
        <d v="2017-07-16T00:00:00"/>
        <d v="2017-07-23T00:00:00"/>
        <d v="2017-07-30T00:00:00"/>
        <d v="2017-08-13T00:00:00"/>
        <d v="2017-08-20T00:00:00"/>
        <d v="2017-08-27T00:00:00"/>
        <d v="2017-09-17T00:00:00"/>
        <d v="2017-10-01T00:00:00"/>
        <d v="2017-10-15T00:00:00"/>
        <d v="2017-10-22T00:00:00"/>
        <d v="2017-10-29T00:00:00"/>
        <d v="2017-11-12T00:00:00"/>
      </sharedItems>
    </cacheField>
    <cacheField name="Performance Rating" numFmtId="164">
      <sharedItems containsSemiMixedTypes="0" containsString="0" containsNumber="1" containsInteger="1" minValue="0" maxValue="5" count="6">
        <n v="1"/>
        <n v="2"/>
        <n v="0"/>
        <n v="5"/>
        <n v="3"/>
        <n v="4"/>
      </sharedItems>
    </cacheField>
    <cacheField name="Gender" numFmtId="49">
      <sharedItems count="3">
        <s v="Other"/>
        <s v="Male"/>
        <s v="Female"/>
      </sharedItems>
    </cacheField>
    <cacheField name="Email"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EMP1001"/>
    <s v="Eve Adams"/>
    <x v="0"/>
    <x v="0"/>
    <n v="54255"/>
    <x v="0"/>
    <x v="0"/>
    <x v="0"/>
    <s v="user106@example.com"/>
  </r>
  <r>
    <s v="EMP1002"/>
    <s v="Alice Brown"/>
    <x v="1"/>
    <x v="0"/>
    <n v="63184"/>
    <x v="1"/>
    <x v="1"/>
    <x v="0"/>
    <s v="user176@example.com"/>
  </r>
  <r>
    <s v="EMP1003"/>
    <s v="John Doe"/>
    <x v="2"/>
    <x v="1"/>
    <n v="94406"/>
    <x v="2"/>
    <x v="0"/>
    <x v="1"/>
    <s v="user168@example.com"/>
  </r>
  <r>
    <s v="EMP1004"/>
    <s v="Jane Smith"/>
    <x v="2"/>
    <x v="0"/>
    <n v="64120"/>
    <x v="3"/>
    <x v="0"/>
    <x v="1"/>
    <s v="user49@example.com"/>
  </r>
  <r>
    <s v="EMP1005"/>
    <s v="Alice Brown"/>
    <x v="3"/>
    <x v="2"/>
    <n v="78421"/>
    <x v="4"/>
    <x v="1"/>
    <x v="2"/>
    <s v="user24@example.com"/>
  </r>
  <r>
    <s v="EMP1008"/>
    <s v="Alice Brown"/>
    <x v="3"/>
    <x v="0"/>
    <n v="97881"/>
    <x v="5"/>
    <x v="2"/>
    <x v="2"/>
    <s v="user25@example.com"/>
  </r>
  <r>
    <s v="EMP1009"/>
    <s v="Chris Lee"/>
    <x v="0"/>
    <x v="3"/>
    <n v="91846"/>
    <x v="6"/>
    <x v="2"/>
    <x v="1"/>
    <s v="user153@example.com"/>
  </r>
  <r>
    <s v="EMP1010"/>
    <s v="Sam Wilson"/>
    <x v="1"/>
    <x v="3"/>
    <n v="64247"/>
    <x v="7"/>
    <x v="0"/>
    <x v="2"/>
    <s v="user18@example.com"/>
  </r>
  <r>
    <s v="EMP1011"/>
    <s v="Sam Wilson"/>
    <x v="3"/>
    <x v="1"/>
    <n v="91180"/>
    <x v="8"/>
    <x v="3"/>
    <x v="1"/>
    <s v="user1@example.com"/>
  </r>
  <r>
    <s v="EMP1017"/>
    <s v="Jane Smith"/>
    <x v="1"/>
    <x v="4"/>
    <n v="41341"/>
    <x v="9"/>
    <x v="0"/>
    <x v="0"/>
    <s v="user38@example.com"/>
  </r>
  <r>
    <s v="EMP1018"/>
    <s v="Alice Brown"/>
    <x v="1"/>
    <x v="3"/>
    <n v="73602"/>
    <x v="10"/>
    <x v="2"/>
    <x v="0"/>
    <s v="user96@example.com"/>
  </r>
  <r>
    <s v="EMP1022"/>
    <s v="Eve Adams"/>
    <x v="1"/>
    <x v="2"/>
    <n v="38333"/>
    <x v="11"/>
    <x v="3"/>
    <x v="0"/>
    <s v="user128@example.com"/>
  </r>
  <r>
    <s v="EMP1023"/>
    <s v="Alice Brown"/>
    <x v="4"/>
    <x v="3"/>
    <n v="36515"/>
    <x v="12"/>
    <x v="4"/>
    <x v="1"/>
    <s v="user149@example.com"/>
  </r>
  <r>
    <s v="EMP1026"/>
    <s v="Eve Adams"/>
    <x v="2"/>
    <x v="0"/>
    <n v="76518"/>
    <x v="13"/>
    <x v="1"/>
    <x v="2"/>
    <s v="user68@example.com"/>
  </r>
  <r>
    <s v="EMP1027"/>
    <s v="Alice Brown"/>
    <x v="3"/>
    <x v="3"/>
    <n v="41448"/>
    <x v="14"/>
    <x v="4"/>
    <x v="0"/>
    <s v="user103@example.com"/>
  </r>
  <r>
    <s v="EMP1028"/>
    <s v="John Doe"/>
    <x v="0"/>
    <x v="3"/>
    <n v="49282"/>
    <x v="15"/>
    <x v="1"/>
    <x v="2"/>
    <s v="user135@example.com"/>
  </r>
  <r>
    <s v="EMP1029"/>
    <s v="Bob Johnson"/>
    <x v="4"/>
    <x v="3"/>
    <n v="92959"/>
    <x v="16"/>
    <x v="3"/>
    <x v="0"/>
    <s v="user83@example.com"/>
  </r>
  <r>
    <s v="EMP1031"/>
    <s v="Eve Adams"/>
    <x v="0"/>
    <x v="0"/>
    <n v="92299"/>
    <x v="17"/>
    <x v="4"/>
    <x v="1"/>
    <s v="user143@example.com"/>
  </r>
  <r>
    <s v="EMP1034"/>
    <s v="John Doe"/>
    <x v="2"/>
    <x v="4"/>
    <n v="79549"/>
    <x v="18"/>
    <x v="4"/>
    <x v="0"/>
    <s v="user198@example.com"/>
  </r>
  <r>
    <s v="EMP1036"/>
    <s v="Alice Brown"/>
    <x v="3"/>
    <x v="1"/>
    <n v="89781"/>
    <x v="19"/>
    <x v="2"/>
    <x v="2"/>
    <s v="user31@example.com"/>
  </r>
  <r>
    <s v="EMP1038"/>
    <s v="John Doe"/>
    <x v="4"/>
    <x v="3"/>
    <n v="52093"/>
    <x v="20"/>
    <x v="3"/>
    <x v="0"/>
    <s v="user154@example.com"/>
  </r>
  <r>
    <s v="EMP1039"/>
    <s v="Chris Lee"/>
    <x v="0"/>
    <x v="3"/>
    <n v="48224"/>
    <x v="21"/>
    <x v="4"/>
    <x v="0"/>
    <s v="user42@example.com"/>
  </r>
  <r>
    <s v="EMP1041"/>
    <s v="Alice Brown"/>
    <x v="3"/>
    <x v="0"/>
    <n v="33956"/>
    <x v="22"/>
    <x v="2"/>
    <x v="0"/>
    <s v="user47@example.com"/>
  </r>
  <r>
    <s v="EMP1043"/>
    <s v="Alice Brown"/>
    <x v="4"/>
    <x v="4"/>
    <n v="35326"/>
    <x v="23"/>
    <x v="2"/>
    <x v="2"/>
    <s v="user57@example.com"/>
  </r>
  <r>
    <s v="EMP1046"/>
    <s v="Chris Lee"/>
    <x v="3"/>
    <x v="0"/>
    <n v="92701"/>
    <x v="24"/>
    <x v="4"/>
    <x v="0"/>
    <s v="user199@example.com"/>
  </r>
  <r>
    <s v="EMP1047"/>
    <s v="Chris Lee"/>
    <x v="0"/>
    <x v="2"/>
    <n v="58245"/>
    <x v="25"/>
    <x v="5"/>
    <x v="0"/>
    <s v="user43@example.com"/>
  </r>
  <r>
    <s v="EMP1049"/>
    <s v="Eve Adams"/>
    <x v="0"/>
    <x v="0"/>
    <n v="78720"/>
    <x v="26"/>
    <x v="3"/>
    <x v="2"/>
    <s v="user89@example.com"/>
  </r>
  <r>
    <s v="EMP1051"/>
    <s v="Sam Wilson"/>
    <x v="2"/>
    <x v="2"/>
    <n v="39423"/>
    <x v="27"/>
    <x v="3"/>
    <x v="0"/>
    <s v="user59@example.com"/>
  </r>
  <r>
    <s v="EMP1053"/>
    <s v="Eve Adams"/>
    <x v="1"/>
    <x v="3"/>
    <n v="33352"/>
    <x v="28"/>
    <x v="4"/>
    <x v="2"/>
    <s v="user200@example.com"/>
  </r>
  <r>
    <s v="EMP1054"/>
    <s v="Bob Johnson"/>
    <x v="4"/>
    <x v="3"/>
    <n v="75633"/>
    <x v="29"/>
    <x v="3"/>
    <x v="0"/>
    <s v="user92@example.com"/>
  </r>
  <r>
    <s v="EMP1056"/>
    <s v="John Doe"/>
    <x v="2"/>
    <x v="4"/>
    <n v="60011"/>
    <x v="30"/>
    <x v="0"/>
    <x v="1"/>
    <s v="user63@example.com"/>
  </r>
  <r>
    <s v="EMP1059"/>
    <s v="Sam Wilson"/>
    <x v="1"/>
    <x v="1"/>
    <n v="82033"/>
    <x v="31"/>
    <x v="0"/>
    <x v="0"/>
    <s v="user20@example.com"/>
  </r>
  <r>
    <s v="EMP1062"/>
    <s v="Chris Lee"/>
    <x v="3"/>
    <x v="3"/>
    <n v="97981"/>
    <x v="32"/>
    <x v="3"/>
    <x v="2"/>
    <s v="user71@example.com"/>
  </r>
  <r>
    <s v="EMP1063"/>
    <s v="Eve Adams"/>
    <x v="0"/>
    <x v="1"/>
    <n v="36541"/>
    <x v="33"/>
    <x v="1"/>
    <x v="0"/>
    <s v="user97@example.com"/>
  </r>
  <r>
    <s v="EMP1064"/>
    <s v="John Doe"/>
    <x v="3"/>
    <x v="2"/>
    <n v="84737"/>
    <x v="34"/>
    <x v="0"/>
    <x v="1"/>
    <s v="user141@example.com"/>
  </r>
  <r>
    <s v="EMP1065"/>
    <s v="Sam Wilson"/>
    <x v="1"/>
    <x v="2"/>
    <n v="33468"/>
    <x v="35"/>
    <x v="5"/>
    <x v="1"/>
    <s v="user125@example.com"/>
  </r>
  <r>
    <s v="EMP1067"/>
    <s v="Alice Brown"/>
    <x v="2"/>
    <x v="2"/>
    <n v="61942"/>
    <x v="36"/>
    <x v="4"/>
    <x v="2"/>
    <s v="user192@example.com"/>
  </r>
  <r>
    <s v="EMP1068"/>
    <s v="Sam Wilson"/>
    <x v="1"/>
    <x v="3"/>
    <n v="41467"/>
    <x v="37"/>
    <x v="1"/>
    <x v="0"/>
    <s v="user77@example.com"/>
  </r>
  <r>
    <s v="EMP1069"/>
    <s v="Bob Johnson"/>
    <x v="1"/>
    <x v="2"/>
    <n v="77096"/>
    <x v="38"/>
    <x v="0"/>
    <x v="0"/>
    <s v="user65@example.com"/>
  </r>
  <r>
    <s v="EMP1071"/>
    <s v="Eve Adams"/>
    <x v="4"/>
    <x v="1"/>
    <n v="85065"/>
    <x v="39"/>
    <x v="4"/>
    <x v="0"/>
    <s v="user142@example.com"/>
  </r>
  <r>
    <s v="EMP1072"/>
    <s v="Bob Johnson"/>
    <x v="4"/>
    <x v="2"/>
    <n v="56512"/>
    <x v="40"/>
    <x v="2"/>
    <x v="0"/>
    <s v="user153@example.com"/>
  </r>
  <r>
    <s v="EMP1073"/>
    <s v="John Doe"/>
    <x v="2"/>
    <x v="2"/>
    <n v="91101"/>
    <x v="41"/>
    <x v="5"/>
    <x v="2"/>
    <s v="user71@example.com"/>
  </r>
  <r>
    <s v="EMP1076"/>
    <s v="Eve Adams"/>
    <x v="3"/>
    <x v="2"/>
    <n v="94301"/>
    <x v="42"/>
    <x v="0"/>
    <x v="1"/>
    <s v="user20@example.com"/>
  </r>
  <r>
    <s v="EMP1079"/>
    <s v="Chris Lee"/>
    <x v="2"/>
    <x v="1"/>
    <n v="66079"/>
    <x v="43"/>
    <x v="1"/>
    <x v="0"/>
    <s v="user55@example.com"/>
  </r>
  <r>
    <s v="EMP1081"/>
    <s v="Jane Smith"/>
    <x v="2"/>
    <x v="1"/>
    <n v="95621"/>
    <x v="44"/>
    <x v="4"/>
    <x v="2"/>
    <s v="user156@example.com"/>
  </r>
  <r>
    <s v="EMP1082"/>
    <s v="Eve Adams"/>
    <x v="3"/>
    <x v="3"/>
    <n v="42262"/>
    <x v="45"/>
    <x v="0"/>
    <x v="0"/>
    <s v="user104@example.com"/>
  </r>
  <r>
    <s v="EMP1083"/>
    <s v="Sam Wilson"/>
    <x v="2"/>
    <x v="2"/>
    <n v="99621"/>
    <x v="46"/>
    <x v="2"/>
    <x v="0"/>
    <s v="user145@example.com"/>
  </r>
  <r>
    <s v="EMP1084"/>
    <s v="John Doe"/>
    <x v="4"/>
    <x v="2"/>
    <n v="44682"/>
    <x v="47"/>
    <x v="5"/>
    <x v="2"/>
    <s v="user47@example.com"/>
  </r>
  <r>
    <s v="EMP1086"/>
    <s v="Chris Lee"/>
    <x v="3"/>
    <x v="2"/>
    <n v="33483"/>
    <x v="48"/>
    <x v="5"/>
    <x v="1"/>
    <s v="user177@example.com"/>
  </r>
  <r>
    <s v="EMP1087"/>
    <s v="Sam Wilson"/>
    <x v="0"/>
    <x v="0"/>
    <n v="55303"/>
    <x v="49"/>
    <x v="5"/>
    <x v="1"/>
    <s v="user149@example.com"/>
  </r>
  <r>
    <s v="EMP1091"/>
    <s v="Alice Brown"/>
    <x v="0"/>
    <x v="4"/>
    <n v="69420"/>
    <x v="50"/>
    <x v="0"/>
    <x v="1"/>
    <s v="user43@example.com"/>
  </r>
  <r>
    <s v="EMP1094"/>
    <s v="Bob Johnson"/>
    <x v="3"/>
    <x v="2"/>
    <n v="33264"/>
    <x v="51"/>
    <x v="2"/>
    <x v="2"/>
    <s v="user148@example.com"/>
  </r>
  <r>
    <s v="EMP1095"/>
    <s v="Alice Brown"/>
    <x v="1"/>
    <x v="4"/>
    <n v="96101"/>
    <x v="52"/>
    <x v="2"/>
    <x v="0"/>
    <s v="user155@example.com"/>
  </r>
  <r>
    <s v="EMP1096"/>
    <s v="Jane Smith"/>
    <x v="1"/>
    <x v="1"/>
    <n v="72939"/>
    <x v="53"/>
    <x v="4"/>
    <x v="0"/>
    <s v="user191@example.com"/>
  </r>
  <r>
    <s v="EMP1097"/>
    <s v="Sam Wilson"/>
    <x v="0"/>
    <x v="0"/>
    <n v="89333"/>
    <x v="54"/>
    <x v="0"/>
    <x v="1"/>
    <s v="user113@example.com"/>
  </r>
  <r>
    <s v="EMP1098"/>
    <s v="Bob Johnson"/>
    <x v="3"/>
    <x v="4"/>
    <n v="70470"/>
    <x v="55"/>
    <x v="2"/>
    <x v="1"/>
    <s v="user62@example.com"/>
  </r>
  <r>
    <s v="EMP1099"/>
    <s v="Eve Adams"/>
    <x v="4"/>
    <x v="1"/>
    <n v="70096"/>
    <x v="56"/>
    <x v="5"/>
    <x v="1"/>
    <s v="user76@example.com"/>
  </r>
  <r>
    <s v="EMP1101"/>
    <s v="Bob Johnson"/>
    <x v="3"/>
    <x v="0"/>
    <n v="66503"/>
    <x v="57"/>
    <x v="2"/>
    <x v="1"/>
    <s v="user200@example.com"/>
  </r>
  <r>
    <s v="EMP1102"/>
    <s v="Alice Brown"/>
    <x v="0"/>
    <x v="0"/>
    <n v="42096"/>
    <x v="58"/>
    <x v="2"/>
    <x v="2"/>
    <s v="user54@example.com"/>
  </r>
  <r>
    <s v="EMP1107"/>
    <s v="Sam Wilson"/>
    <x v="4"/>
    <x v="4"/>
    <n v="86412"/>
    <x v="59"/>
    <x v="1"/>
    <x v="2"/>
    <s v="user128@example.com"/>
  </r>
  <r>
    <s v="EMP1111"/>
    <s v="Chris Lee"/>
    <x v="3"/>
    <x v="1"/>
    <n v="34306"/>
    <x v="60"/>
    <x v="3"/>
    <x v="2"/>
    <s v="user192@example.com"/>
  </r>
  <r>
    <s v="EMP1112"/>
    <s v="Eve Adams"/>
    <x v="1"/>
    <x v="2"/>
    <n v="78330"/>
    <x v="61"/>
    <x v="2"/>
    <x v="0"/>
    <s v="user76@example.com"/>
  </r>
  <r>
    <s v="EMP1113"/>
    <s v="Alice Brown"/>
    <x v="3"/>
    <x v="1"/>
    <n v="47653"/>
    <x v="62"/>
    <x v="0"/>
    <x v="1"/>
    <s v="user82@example.com"/>
  </r>
  <r>
    <s v="EMP1114"/>
    <s v="Eve Adams"/>
    <x v="4"/>
    <x v="3"/>
    <n v="44627"/>
    <x v="63"/>
    <x v="5"/>
    <x v="0"/>
    <s v="user97@example.com"/>
  </r>
  <r>
    <s v="EMP1115"/>
    <s v="Bob Johnson"/>
    <x v="0"/>
    <x v="0"/>
    <n v="92343"/>
    <x v="64"/>
    <x v="5"/>
    <x v="2"/>
    <s v="user149@example.com"/>
  </r>
  <r>
    <s v="EMP1116"/>
    <s v="Bob Johnson"/>
    <x v="4"/>
    <x v="4"/>
    <n v="38837"/>
    <x v="65"/>
    <x v="3"/>
    <x v="2"/>
    <s v="user192@example.com"/>
  </r>
  <r>
    <s v="EMP1118"/>
    <s v="Chris Lee"/>
    <x v="2"/>
    <x v="2"/>
    <n v="95032"/>
    <x v="66"/>
    <x v="4"/>
    <x v="0"/>
    <s v="user23@example.com"/>
  </r>
  <r>
    <s v="EMP1119"/>
    <s v="Eve Adams"/>
    <x v="2"/>
    <x v="4"/>
    <n v="44358"/>
    <x v="67"/>
    <x v="2"/>
    <x v="2"/>
    <s v="user200@example.com"/>
  </r>
  <r>
    <s v="EMP1121"/>
    <s v="Chris Lee"/>
    <x v="2"/>
    <x v="1"/>
    <n v="45676"/>
    <x v="68"/>
    <x v="1"/>
    <x v="0"/>
    <s v="user132@example.com"/>
  </r>
  <r>
    <s v="EMP1122"/>
    <s v="Bob Johnson"/>
    <x v="2"/>
    <x v="0"/>
    <n v="52036"/>
    <x v="69"/>
    <x v="4"/>
    <x v="1"/>
    <s v="user171@example.com"/>
  </r>
  <r>
    <s v="EMP1127"/>
    <s v="John Doe"/>
    <x v="1"/>
    <x v="1"/>
    <n v="91953"/>
    <x v="70"/>
    <x v="1"/>
    <x v="1"/>
    <s v="user83@example.com"/>
  </r>
  <r>
    <s v="EMP1128"/>
    <s v="Chris Lee"/>
    <x v="2"/>
    <x v="1"/>
    <n v="30402"/>
    <x v="71"/>
    <x v="0"/>
    <x v="0"/>
    <s v="user167@example.com"/>
  </r>
  <r>
    <s v="EMP1131"/>
    <s v="Sam Wilson"/>
    <x v="4"/>
    <x v="0"/>
    <n v="34402"/>
    <x v="72"/>
    <x v="4"/>
    <x v="0"/>
    <s v="user42@example.com"/>
  </r>
  <r>
    <s v="EMP1132"/>
    <s v="Eve Adams"/>
    <x v="0"/>
    <x v="1"/>
    <n v="38678"/>
    <x v="73"/>
    <x v="4"/>
    <x v="0"/>
    <s v="user188@example.com"/>
  </r>
  <r>
    <s v="EMP1133"/>
    <s v="Chris Lee"/>
    <x v="0"/>
    <x v="0"/>
    <n v="45758"/>
    <x v="74"/>
    <x v="4"/>
    <x v="0"/>
    <s v="user44@example.com"/>
  </r>
  <r>
    <s v="EMP1134"/>
    <s v="Eve Adams"/>
    <x v="4"/>
    <x v="2"/>
    <n v="62476"/>
    <x v="75"/>
    <x v="0"/>
    <x v="0"/>
    <s v="user63@example.com"/>
  </r>
  <r>
    <s v="EMP1136"/>
    <s v="Jane Smith"/>
    <x v="1"/>
    <x v="2"/>
    <n v="60335"/>
    <x v="76"/>
    <x v="5"/>
    <x v="0"/>
    <s v="user59@example.com"/>
  </r>
  <r>
    <s v="EMP1137"/>
    <s v="Chris Lee"/>
    <x v="0"/>
    <x v="0"/>
    <n v="84968"/>
    <x v="77"/>
    <x v="2"/>
    <x v="0"/>
    <s v="user165@example.com"/>
  </r>
  <r>
    <s v="EMP1138"/>
    <s v="Chris Lee"/>
    <x v="4"/>
    <x v="4"/>
    <n v="84750"/>
    <x v="78"/>
    <x v="5"/>
    <x v="2"/>
    <s v="user3@example.com"/>
  </r>
  <r>
    <s v="EMP1141"/>
    <s v="Jane Smith"/>
    <x v="4"/>
    <x v="1"/>
    <n v="66882"/>
    <x v="79"/>
    <x v="3"/>
    <x v="0"/>
    <s v="user103@example.com"/>
  </r>
  <r>
    <s v="EMP1143"/>
    <s v="Chris Lee"/>
    <x v="2"/>
    <x v="3"/>
    <n v="91620"/>
    <x v="80"/>
    <x v="2"/>
    <x v="0"/>
    <s v="user114@example.com"/>
  </r>
  <r>
    <s v="EMP1145"/>
    <s v="Sam Wilson"/>
    <x v="2"/>
    <x v="4"/>
    <n v="35627"/>
    <x v="81"/>
    <x v="3"/>
    <x v="2"/>
    <s v="user188@example.com"/>
  </r>
  <r>
    <s v="EMP1146"/>
    <s v="John Doe"/>
    <x v="4"/>
    <x v="1"/>
    <n v="57141"/>
    <x v="82"/>
    <x v="1"/>
    <x v="0"/>
    <s v="user165@example.com"/>
  </r>
  <r>
    <s v="EMP1147"/>
    <s v="Bob Johnson"/>
    <x v="2"/>
    <x v="4"/>
    <n v="65270"/>
    <x v="83"/>
    <x v="0"/>
    <x v="0"/>
    <s v="user163@example.com"/>
  </r>
  <r>
    <s v="EMP1149"/>
    <s v="Sam Wilson"/>
    <x v="4"/>
    <x v="2"/>
    <n v="98475"/>
    <x v="84"/>
    <x v="3"/>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G11:H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Max of Salary" fld="4" subtotal="max"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2:E8"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9:B15" firstHeaderRow="1" firstDataRow="1" firstDataCol="1"/>
  <pivotFields count="9">
    <pivotField dataField="1"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J2:K9"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axis="axisRow" compact="0" numFmtId="164" outline="0" showAll="0">
      <items count="7">
        <item x="2"/>
        <item x="0"/>
        <item x="1"/>
        <item x="4"/>
        <item x="5"/>
        <item x="3"/>
        <item t="default"/>
      </items>
    </pivotField>
    <pivotField compact="0" outline="0" showAll="0">
      <items count="4">
        <item x="2"/>
        <item x="1"/>
        <item x="0"/>
        <item t="default"/>
      </items>
    </pivotField>
    <pivotField compact="0" outline="0" showAll="0"/>
  </pivotFields>
  <rowFields count="1">
    <field x="6"/>
  </rowFields>
  <rowItems count="7">
    <i>
      <x/>
    </i>
    <i>
      <x v="1"/>
    </i>
    <i>
      <x v="2"/>
    </i>
    <i>
      <x v="3"/>
    </i>
    <i>
      <x v="4"/>
    </i>
    <i>
      <x v="5"/>
    </i>
    <i t="grand">
      <x/>
    </i>
  </rowItems>
  <colItems count="1">
    <i/>
  </colItems>
  <dataFields count="1">
    <dataField name="Count of Employee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D11:E15"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axis="axisRow" compact="0" outline="0" showAll="0">
      <items count="4">
        <item x="2"/>
        <item x="1"/>
        <item x="0"/>
        <item t="default"/>
      </items>
    </pivotField>
    <pivotField compact="0" outline="0" showAll="0"/>
  </pivotFields>
  <rowFields count="1">
    <field x="7"/>
  </rowFields>
  <rowItems count="4">
    <i>
      <x/>
    </i>
    <i>
      <x v="1"/>
    </i>
    <i>
      <x v="2"/>
    </i>
    <i t="grand">
      <x/>
    </i>
  </rowItems>
  <colItems count="1">
    <i/>
  </colItems>
  <dataFields count="1">
    <dataField name="Count of Employee ID" fld="0" subtotal="count" baseField="0" baseItem="0"/>
  </dataField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G19:H25" firstHeaderRow="1" firstDataRow="1" firstDataCol="1"/>
  <pivotFields count="9">
    <pivotField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Average of Salary" fld="4" subtotal="average" baseField="0" baseItem="0" numFmtId="2"/>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18:B104"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axis="axisRow"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5"/>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19:E25"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Sum of Sal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G2:H8"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Salary" fld="4" subtotal="average"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3:A4" firstHeaderRow="1" firstDataRow="1" firstDataCol="0"/>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J11:K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dataField="1"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Performance Rating"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2" style="SlicerStyleLight3" rowHeight="241300"/>
  <slicer name="Country" cache="Slicer_Country" caption="Country" columnCount="2" style="SlicerStyleLight3" rowHeight="241300"/>
  <slicer name="Gender" cache="Slicer_Gender" caption="Gender" style="SlicerStyleLight3" rowHeight="241300"/>
</slicers>
</file>

<file path=xl/tables/table1.xml><?xml version="1.0" encoding="utf-8"?>
<table xmlns="http://schemas.openxmlformats.org/spreadsheetml/2006/main" id="1" name="Table1" displayName="Table1" ref="A1:I86" totalsRowShown="0" headerRowDxfId="11" headerRowBorderDxfId="10" tableBorderDxfId="9">
  <autoFilter ref="A1:I86"/>
  <tableColumns count="9">
    <tableColumn id="1" name="Employee ID" dataDxfId="8"/>
    <tableColumn id="2" name="Name" dataDxfId="7"/>
    <tableColumn id="3" name="Department" dataDxfId="6"/>
    <tableColumn id="4" name="Country" dataDxfId="5"/>
    <tableColumn id="5" name="Salary" dataDxfId="4"/>
    <tableColumn id="6" name="Date of Joining" dataDxfId="3"/>
    <tableColumn id="7" name="Performance Rating" dataDxfId="2"/>
    <tableColumn id="8" name="Gender" dataDxfId="1"/>
    <tableColumn id="9" name="Email"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_of_Joining" sourceName="Date of Joining">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state minimalRefreshVersion="6" lastRefreshVersion="6" pivotCacheId="1"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of Joining" cache="NativeTimeline_Date_of_Joining" caption="Date of Joining" showHeader="0" level="2" selectionLevel="2" scrollPosition="2015-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topLeftCell="A70" workbookViewId="0">
      <selection activeCell="K29" sqref="K29"/>
    </sheetView>
  </sheetViews>
  <sheetFormatPr defaultRowHeight="14.4" x14ac:dyDescent="0.3"/>
  <cols>
    <col min="1" max="1" width="14.33203125" style="2" bestFit="1" customWidth="1"/>
    <col min="2" max="2" width="11.88671875" style="2" bestFit="1" customWidth="1"/>
    <col min="3" max="3" width="14" style="2" bestFit="1" customWidth="1"/>
    <col min="4" max="4" width="10.33203125" style="2" bestFit="1" customWidth="1"/>
    <col min="5" max="5" width="11.109375" style="6" bestFit="1" customWidth="1"/>
    <col min="6" max="6" width="19" style="4" bestFit="1" customWidth="1"/>
    <col min="7" max="7" width="20.88671875" style="8" bestFit="1" customWidth="1"/>
    <col min="8" max="8" width="9.6640625" style="2" bestFit="1" customWidth="1"/>
    <col min="9" max="9" width="21.5546875" style="2" bestFit="1" customWidth="1"/>
  </cols>
  <sheetData>
    <row r="1" spans="1:9" x14ac:dyDescent="0.3">
      <c r="A1" s="1" t="s">
        <v>0</v>
      </c>
      <c r="B1" s="1" t="s">
        <v>1</v>
      </c>
      <c r="C1" s="1" t="s">
        <v>2</v>
      </c>
      <c r="D1" s="1" t="s">
        <v>3</v>
      </c>
      <c r="E1" s="5" t="s">
        <v>4</v>
      </c>
      <c r="F1" s="3" t="s">
        <v>5</v>
      </c>
      <c r="G1" s="7" t="s">
        <v>6</v>
      </c>
      <c r="H1" s="1" t="s">
        <v>7</v>
      </c>
      <c r="I1" s="1" t="s">
        <v>8</v>
      </c>
    </row>
    <row r="2" spans="1:9" x14ac:dyDescent="0.3">
      <c r="A2" s="2" t="s">
        <v>9</v>
      </c>
      <c r="B2" s="2" t="s">
        <v>10</v>
      </c>
      <c r="C2" s="2" t="s">
        <v>11</v>
      </c>
      <c r="D2" s="2" t="s">
        <v>12</v>
      </c>
      <c r="E2" s="6">
        <v>54255</v>
      </c>
      <c r="F2" s="4">
        <v>42015</v>
      </c>
      <c r="G2" s="8">
        <v>1</v>
      </c>
      <c r="H2" s="2" t="s">
        <v>13</v>
      </c>
      <c r="I2" s="2" t="s">
        <v>14</v>
      </c>
    </row>
    <row r="3" spans="1:9" x14ac:dyDescent="0.3">
      <c r="A3" s="2" t="s">
        <v>15</v>
      </c>
      <c r="B3" s="2" t="s">
        <v>16</v>
      </c>
      <c r="C3" s="2" t="s">
        <v>17</v>
      </c>
      <c r="D3" s="2" t="s">
        <v>12</v>
      </c>
      <c r="E3" s="6">
        <v>63184</v>
      </c>
      <c r="F3" s="4">
        <v>42022</v>
      </c>
      <c r="G3" s="8">
        <v>2</v>
      </c>
      <c r="H3" s="2" t="s">
        <v>13</v>
      </c>
      <c r="I3" s="2" t="s">
        <v>18</v>
      </c>
    </row>
    <row r="4" spans="1:9" x14ac:dyDescent="0.3">
      <c r="A4" s="2" t="s">
        <v>19</v>
      </c>
      <c r="B4" s="2" t="s">
        <v>20</v>
      </c>
      <c r="C4" s="2" t="s">
        <v>21</v>
      </c>
      <c r="D4" s="2" t="s">
        <v>22</v>
      </c>
      <c r="E4" s="6">
        <v>94406</v>
      </c>
      <c r="F4" s="4">
        <v>42029</v>
      </c>
      <c r="G4" s="8">
        <v>1</v>
      </c>
      <c r="H4" s="2" t="s">
        <v>23</v>
      </c>
      <c r="I4" s="2" t="s">
        <v>24</v>
      </c>
    </row>
    <row r="5" spans="1:9" x14ac:dyDescent="0.3">
      <c r="A5" s="2" t="s">
        <v>25</v>
      </c>
      <c r="B5" s="2" t="s">
        <v>26</v>
      </c>
      <c r="C5" s="2" t="s">
        <v>21</v>
      </c>
      <c r="D5" s="2" t="s">
        <v>12</v>
      </c>
      <c r="E5" s="6">
        <v>64120</v>
      </c>
      <c r="F5" s="4">
        <v>42036</v>
      </c>
      <c r="G5" s="8">
        <v>1</v>
      </c>
      <c r="H5" s="2" t="s">
        <v>23</v>
      </c>
      <c r="I5" s="2" t="s">
        <v>27</v>
      </c>
    </row>
    <row r="6" spans="1:9" x14ac:dyDescent="0.3">
      <c r="A6" s="2" t="s">
        <v>28</v>
      </c>
      <c r="B6" s="2" t="s">
        <v>16</v>
      </c>
      <c r="C6" s="2" t="s">
        <v>29</v>
      </c>
      <c r="D6" s="2" t="s">
        <v>30</v>
      </c>
      <c r="E6" s="6">
        <v>78421</v>
      </c>
      <c r="F6" s="4">
        <v>42043</v>
      </c>
      <c r="G6" s="8">
        <v>2</v>
      </c>
      <c r="H6" s="2" t="s">
        <v>31</v>
      </c>
      <c r="I6" s="2" t="s">
        <v>32</v>
      </c>
    </row>
    <row r="7" spans="1:9" x14ac:dyDescent="0.3">
      <c r="A7" s="2" t="s">
        <v>33</v>
      </c>
      <c r="B7" s="2" t="s">
        <v>16</v>
      </c>
      <c r="C7" s="2" t="s">
        <v>29</v>
      </c>
      <c r="D7" s="2" t="s">
        <v>12</v>
      </c>
      <c r="E7" s="6">
        <v>97881</v>
      </c>
      <c r="F7" s="4">
        <v>42064</v>
      </c>
      <c r="G7" s="8">
        <f ca="1">ROUND(AVERAGE(G:G),0)</f>
        <v>0</v>
      </c>
      <c r="H7" s="2" t="s">
        <v>31</v>
      </c>
      <c r="I7" s="2" t="s">
        <v>34</v>
      </c>
    </row>
    <row r="8" spans="1:9" x14ac:dyDescent="0.3">
      <c r="A8" s="2" t="s">
        <v>35</v>
      </c>
      <c r="B8" s="2" t="s">
        <v>36</v>
      </c>
      <c r="C8" s="2" t="s">
        <v>11</v>
      </c>
      <c r="D8" s="2" t="s">
        <v>37</v>
      </c>
      <c r="E8" s="6">
        <v>91846</v>
      </c>
      <c r="F8" s="4">
        <v>42071</v>
      </c>
      <c r="G8" s="8">
        <f ca="1">ROUND(AVERAGE(G:G),0)</f>
        <v>0</v>
      </c>
      <c r="H8" s="2" t="s">
        <v>23</v>
      </c>
      <c r="I8" s="2" t="s">
        <v>38</v>
      </c>
    </row>
    <row r="9" spans="1:9" x14ac:dyDescent="0.3">
      <c r="A9" s="2" t="s">
        <v>39</v>
      </c>
      <c r="B9" s="2" t="s">
        <v>40</v>
      </c>
      <c r="C9" s="2" t="s">
        <v>17</v>
      </c>
      <c r="D9" s="2" t="s">
        <v>37</v>
      </c>
      <c r="E9" s="6">
        <v>64247</v>
      </c>
      <c r="F9" s="4">
        <v>42078</v>
      </c>
      <c r="G9" s="8">
        <v>1</v>
      </c>
      <c r="H9" s="2" t="s">
        <v>31</v>
      </c>
      <c r="I9" s="2" t="s">
        <v>41</v>
      </c>
    </row>
    <row r="10" spans="1:9" x14ac:dyDescent="0.3">
      <c r="A10" s="2" t="s">
        <v>42</v>
      </c>
      <c r="B10" s="2" t="s">
        <v>40</v>
      </c>
      <c r="C10" s="2" t="s">
        <v>29</v>
      </c>
      <c r="D10" s="2" t="s">
        <v>22</v>
      </c>
      <c r="E10" s="6">
        <v>91180</v>
      </c>
      <c r="F10" s="4">
        <v>42085</v>
      </c>
      <c r="G10" s="8">
        <v>5</v>
      </c>
      <c r="H10" s="2" t="s">
        <v>23</v>
      </c>
      <c r="I10" s="2" t="s">
        <v>43</v>
      </c>
    </row>
    <row r="11" spans="1:9" x14ac:dyDescent="0.3">
      <c r="A11" s="2" t="s">
        <v>44</v>
      </c>
      <c r="B11" s="2" t="s">
        <v>26</v>
      </c>
      <c r="C11" s="2" t="s">
        <v>17</v>
      </c>
      <c r="D11" s="2" t="s">
        <v>45</v>
      </c>
      <c r="E11" s="6">
        <v>41341</v>
      </c>
      <c r="F11" s="4">
        <v>42127</v>
      </c>
      <c r="G11" s="8">
        <v>1</v>
      </c>
      <c r="H11" s="2" t="s">
        <v>13</v>
      </c>
      <c r="I11" s="2" t="s">
        <v>46</v>
      </c>
    </row>
    <row r="12" spans="1:9" x14ac:dyDescent="0.3">
      <c r="A12" s="2" t="s">
        <v>47</v>
      </c>
      <c r="B12" s="2" t="s">
        <v>16</v>
      </c>
      <c r="C12" s="2" t="s">
        <v>17</v>
      </c>
      <c r="D12" s="2" t="s">
        <v>37</v>
      </c>
      <c r="E12" s="6">
        <v>73602</v>
      </c>
      <c r="F12" s="4">
        <v>42134</v>
      </c>
      <c r="G12" s="8">
        <f ca="1">ROUND(AVERAGE(G:G),0)</f>
        <v>0</v>
      </c>
      <c r="H12" s="2" t="s">
        <v>13</v>
      </c>
      <c r="I12" s="2" t="s">
        <v>48</v>
      </c>
    </row>
    <row r="13" spans="1:9" x14ac:dyDescent="0.3">
      <c r="A13" s="2" t="s">
        <v>49</v>
      </c>
      <c r="B13" s="2" t="s">
        <v>10</v>
      </c>
      <c r="C13" s="2" t="s">
        <v>17</v>
      </c>
      <c r="D13" s="2" t="s">
        <v>30</v>
      </c>
      <c r="E13" s="6">
        <v>38333</v>
      </c>
      <c r="F13" s="4">
        <v>42162</v>
      </c>
      <c r="G13" s="8">
        <v>5</v>
      </c>
      <c r="H13" s="2" t="s">
        <v>13</v>
      </c>
      <c r="I13" s="2" t="s">
        <v>50</v>
      </c>
    </row>
    <row r="14" spans="1:9" x14ac:dyDescent="0.3">
      <c r="A14" s="2" t="s">
        <v>51</v>
      </c>
      <c r="B14" s="2" t="s">
        <v>16</v>
      </c>
      <c r="C14" s="2" t="s">
        <v>52</v>
      </c>
      <c r="D14" s="2" t="s">
        <v>37</v>
      </c>
      <c r="E14" s="6">
        <v>36515</v>
      </c>
      <c r="F14" s="4">
        <v>42169</v>
      </c>
      <c r="G14" s="8">
        <v>3</v>
      </c>
      <c r="H14" s="2" t="s">
        <v>23</v>
      </c>
      <c r="I14" s="2" t="s">
        <v>53</v>
      </c>
    </row>
    <row r="15" spans="1:9" x14ac:dyDescent="0.3">
      <c r="A15" s="2" t="s">
        <v>54</v>
      </c>
      <c r="B15" s="2" t="s">
        <v>10</v>
      </c>
      <c r="C15" s="2" t="s">
        <v>21</v>
      </c>
      <c r="D15" s="2" t="s">
        <v>12</v>
      </c>
      <c r="E15" s="6">
        <v>76518</v>
      </c>
      <c r="F15" s="4">
        <v>42190</v>
      </c>
      <c r="G15" s="8">
        <v>2</v>
      </c>
      <c r="H15" s="2" t="s">
        <v>31</v>
      </c>
      <c r="I15" s="2" t="s">
        <v>55</v>
      </c>
    </row>
    <row r="16" spans="1:9" x14ac:dyDescent="0.3">
      <c r="A16" s="2" t="s">
        <v>56</v>
      </c>
      <c r="B16" s="2" t="s">
        <v>16</v>
      </c>
      <c r="C16" s="2" t="s">
        <v>29</v>
      </c>
      <c r="D16" s="2" t="s">
        <v>37</v>
      </c>
      <c r="E16" s="6">
        <v>41448</v>
      </c>
      <c r="F16" s="4">
        <v>42197</v>
      </c>
      <c r="G16" s="8">
        <v>3</v>
      </c>
      <c r="H16" s="2" t="s">
        <v>13</v>
      </c>
      <c r="I16" s="2" t="s">
        <v>57</v>
      </c>
    </row>
    <row r="17" spans="1:9" x14ac:dyDescent="0.3">
      <c r="A17" s="2" t="s">
        <v>58</v>
      </c>
      <c r="B17" s="2" t="s">
        <v>20</v>
      </c>
      <c r="C17" s="2" t="s">
        <v>11</v>
      </c>
      <c r="D17" s="2" t="s">
        <v>37</v>
      </c>
      <c r="E17" s="6">
        <v>49282</v>
      </c>
      <c r="F17" s="4">
        <v>42204</v>
      </c>
      <c r="G17" s="8">
        <v>2</v>
      </c>
      <c r="H17" s="2" t="s">
        <v>31</v>
      </c>
      <c r="I17" s="2" t="s">
        <v>59</v>
      </c>
    </row>
    <row r="18" spans="1:9" x14ac:dyDescent="0.3">
      <c r="A18" s="2" t="s">
        <v>60</v>
      </c>
      <c r="B18" s="2" t="s">
        <v>61</v>
      </c>
      <c r="C18" s="2" t="s">
        <v>52</v>
      </c>
      <c r="D18" s="2" t="s">
        <v>37</v>
      </c>
      <c r="E18" s="6">
        <v>92959</v>
      </c>
      <c r="F18" s="4">
        <v>42211</v>
      </c>
      <c r="G18" s="8">
        <v>5</v>
      </c>
      <c r="H18" s="2" t="s">
        <v>13</v>
      </c>
      <c r="I18" s="2" t="s">
        <v>62</v>
      </c>
    </row>
    <row r="19" spans="1:9" x14ac:dyDescent="0.3">
      <c r="A19" s="2" t="s">
        <v>63</v>
      </c>
      <c r="B19" s="2" t="s">
        <v>10</v>
      </c>
      <c r="C19" s="2" t="s">
        <v>11</v>
      </c>
      <c r="D19" s="2" t="s">
        <v>12</v>
      </c>
      <c r="E19" s="6">
        <v>92299</v>
      </c>
      <c r="F19" s="4">
        <v>42225</v>
      </c>
      <c r="G19" s="8">
        <v>3</v>
      </c>
      <c r="H19" s="2" t="s">
        <v>23</v>
      </c>
      <c r="I19" s="2" t="s">
        <v>64</v>
      </c>
    </row>
    <row r="20" spans="1:9" x14ac:dyDescent="0.3">
      <c r="A20" s="2" t="s">
        <v>65</v>
      </c>
      <c r="B20" s="2" t="s">
        <v>20</v>
      </c>
      <c r="C20" s="2" t="s">
        <v>21</v>
      </c>
      <c r="D20" s="2" t="s">
        <v>45</v>
      </c>
      <c r="E20" s="6">
        <v>79549</v>
      </c>
      <c r="F20" s="4">
        <v>42246</v>
      </c>
      <c r="G20" s="8">
        <v>3</v>
      </c>
      <c r="H20" s="2" t="s">
        <v>13</v>
      </c>
      <c r="I20" s="2" t="s">
        <v>66</v>
      </c>
    </row>
    <row r="21" spans="1:9" x14ac:dyDescent="0.3">
      <c r="A21" s="2" t="s">
        <v>67</v>
      </c>
      <c r="B21" s="2" t="s">
        <v>16</v>
      </c>
      <c r="C21" s="2" t="s">
        <v>29</v>
      </c>
      <c r="D21" s="2" t="s">
        <v>22</v>
      </c>
      <c r="E21" s="6">
        <v>89781</v>
      </c>
      <c r="F21" s="4">
        <v>42260</v>
      </c>
      <c r="G21" s="8">
        <f ca="1">ROUND(AVERAGE(G:G),0)</f>
        <v>0</v>
      </c>
      <c r="H21" s="2" t="s">
        <v>31</v>
      </c>
      <c r="I21" s="2" t="s">
        <v>68</v>
      </c>
    </row>
    <row r="22" spans="1:9" x14ac:dyDescent="0.3">
      <c r="A22" s="2" t="s">
        <v>69</v>
      </c>
      <c r="B22" s="2" t="s">
        <v>20</v>
      </c>
      <c r="C22" s="2" t="s">
        <v>52</v>
      </c>
      <c r="D22" s="2" t="s">
        <v>37</v>
      </c>
      <c r="E22" s="6">
        <v>52093</v>
      </c>
      <c r="F22" s="4">
        <v>42274</v>
      </c>
      <c r="G22" s="8">
        <v>5</v>
      </c>
      <c r="H22" s="2" t="s">
        <v>13</v>
      </c>
      <c r="I22" s="2" t="s">
        <v>70</v>
      </c>
    </row>
    <row r="23" spans="1:9" x14ac:dyDescent="0.3">
      <c r="A23" s="2" t="s">
        <v>71</v>
      </c>
      <c r="B23" s="2" t="s">
        <v>36</v>
      </c>
      <c r="C23" s="2" t="s">
        <v>11</v>
      </c>
      <c r="D23" s="2" t="s">
        <v>37</v>
      </c>
      <c r="E23" s="6">
        <v>48224</v>
      </c>
      <c r="F23" s="4">
        <v>42281</v>
      </c>
      <c r="G23" s="8">
        <v>3</v>
      </c>
      <c r="H23" s="2" t="s">
        <v>13</v>
      </c>
      <c r="I23" s="2" t="s">
        <v>72</v>
      </c>
    </row>
    <row r="24" spans="1:9" x14ac:dyDescent="0.3">
      <c r="A24" s="2" t="s">
        <v>73</v>
      </c>
      <c r="B24" s="2" t="s">
        <v>16</v>
      </c>
      <c r="C24" s="2" t="s">
        <v>29</v>
      </c>
      <c r="D24" s="2" t="s">
        <v>12</v>
      </c>
      <c r="E24" s="6">
        <v>33956</v>
      </c>
      <c r="F24" s="4">
        <v>42295</v>
      </c>
      <c r="G24" s="8">
        <f t="shared" ref="G24:G25" ca="1" si="0">ROUND(AVERAGE(G:G),0)</f>
        <v>0</v>
      </c>
      <c r="H24" s="2" t="s">
        <v>13</v>
      </c>
      <c r="I24" s="2" t="s">
        <v>74</v>
      </c>
    </row>
    <row r="25" spans="1:9" x14ac:dyDescent="0.3">
      <c r="A25" s="2" t="s">
        <v>75</v>
      </c>
      <c r="B25" s="2" t="s">
        <v>16</v>
      </c>
      <c r="C25" s="2" t="s">
        <v>52</v>
      </c>
      <c r="D25" s="2" t="s">
        <v>45</v>
      </c>
      <c r="E25" s="6">
        <v>35326</v>
      </c>
      <c r="F25" s="4">
        <v>42309</v>
      </c>
      <c r="G25" s="8">
        <f t="shared" ca="1" si="0"/>
        <v>0</v>
      </c>
      <c r="H25" s="2" t="s">
        <v>31</v>
      </c>
      <c r="I25" s="2" t="s">
        <v>76</v>
      </c>
    </row>
    <row r="26" spans="1:9" x14ac:dyDescent="0.3">
      <c r="A26" s="2" t="s">
        <v>77</v>
      </c>
      <c r="B26" s="2" t="s">
        <v>36</v>
      </c>
      <c r="C26" s="2" t="s">
        <v>29</v>
      </c>
      <c r="D26" s="2" t="s">
        <v>12</v>
      </c>
      <c r="E26" s="6">
        <v>92701</v>
      </c>
      <c r="F26" s="4">
        <v>42330</v>
      </c>
      <c r="G26" s="8">
        <v>3</v>
      </c>
      <c r="H26" s="2" t="s">
        <v>13</v>
      </c>
      <c r="I26" s="2" t="s">
        <v>78</v>
      </c>
    </row>
    <row r="27" spans="1:9" x14ac:dyDescent="0.3">
      <c r="A27" s="2" t="s">
        <v>79</v>
      </c>
      <c r="B27" s="2" t="s">
        <v>36</v>
      </c>
      <c r="C27" s="2" t="s">
        <v>11</v>
      </c>
      <c r="D27" s="2" t="s">
        <v>30</v>
      </c>
      <c r="E27" s="6">
        <v>58245</v>
      </c>
      <c r="F27" s="4">
        <v>42337</v>
      </c>
      <c r="G27" s="8">
        <v>4</v>
      </c>
      <c r="H27" s="2" t="s">
        <v>13</v>
      </c>
      <c r="I27" s="2" t="s">
        <v>80</v>
      </c>
    </row>
    <row r="28" spans="1:9" x14ac:dyDescent="0.3">
      <c r="A28" s="2" t="s">
        <v>81</v>
      </c>
      <c r="B28" s="2" t="s">
        <v>10</v>
      </c>
      <c r="C28" s="2" t="s">
        <v>11</v>
      </c>
      <c r="D28" s="2" t="s">
        <v>12</v>
      </c>
      <c r="E28" s="6">
        <v>78720</v>
      </c>
      <c r="F28" s="4">
        <v>42351</v>
      </c>
      <c r="G28" s="8">
        <v>5</v>
      </c>
      <c r="H28" s="2" t="s">
        <v>31</v>
      </c>
      <c r="I28" s="2" t="s">
        <v>82</v>
      </c>
    </row>
    <row r="29" spans="1:9" x14ac:dyDescent="0.3">
      <c r="A29" s="2" t="s">
        <v>83</v>
      </c>
      <c r="B29" s="2" t="s">
        <v>40</v>
      </c>
      <c r="C29" s="2" t="s">
        <v>21</v>
      </c>
      <c r="D29" s="2" t="s">
        <v>30</v>
      </c>
      <c r="E29" s="6">
        <v>39423</v>
      </c>
      <c r="F29" s="4">
        <v>42365</v>
      </c>
      <c r="G29" s="8">
        <v>5</v>
      </c>
      <c r="H29" s="2" t="s">
        <v>13</v>
      </c>
      <c r="I29" s="2" t="s">
        <v>84</v>
      </c>
    </row>
    <row r="30" spans="1:9" x14ac:dyDescent="0.3">
      <c r="A30" s="2" t="s">
        <v>85</v>
      </c>
      <c r="B30" s="2" t="s">
        <v>10</v>
      </c>
      <c r="C30" s="2" t="s">
        <v>17</v>
      </c>
      <c r="D30" s="2" t="s">
        <v>37</v>
      </c>
      <c r="E30" s="6">
        <v>33352</v>
      </c>
      <c r="F30" s="4">
        <v>42379</v>
      </c>
      <c r="G30" s="8">
        <v>3</v>
      </c>
      <c r="H30" s="2" t="s">
        <v>31</v>
      </c>
      <c r="I30" s="2" t="s">
        <v>86</v>
      </c>
    </row>
    <row r="31" spans="1:9" x14ac:dyDescent="0.3">
      <c r="A31" s="2" t="s">
        <v>87</v>
      </c>
      <c r="B31" s="2" t="s">
        <v>61</v>
      </c>
      <c r="C31" s="2" t="s">
        <v>52</v>
      </c>
      <c r="D31" s="2" t="s">
        <v>37</v>
      </c>
      <c r="E31" s="6">
        <v>75633</v>
      </c>
      <c r="F31" s="4">
        <v>42386</v>
      </c>
      <c r="G31" s="8">
        <v>5</v>
      </c>
      <c r="H31" s="2" t="s">
        <v>13</v>
      </c>
      <c r="I31" s="2" t="s">
        <v>88</v>
      </c>
    </row>
    <row r="32" spans="1:9" x14ac:dyDescent="0.3">
      <c r="A32" s="2" t="s">
        <v>89</v>
      </c>
      <c r="B32" s="2" t="s">
        <v>20</v>
      </c>
      <c r="C32" s="2" t="s">
        <v>21</v>
      </c>
      <c r="D32" s="2" t="s">
        <v>45</v>
      </c>
      <c r="E32" s="6">
        <v>60011</v>
      </c>
      <c r="F32" s="4">
        <v>42400</v>
      </c>
      <c r="G32" s="8">
        <v>1</v>
      </c>
      <c r="H32" s="2" t="s">
        <v>23</v>
      </c>
      <c r="I32" s="2" t="s">
        <v>90</v>
      </c>
    </row>
    <row r="33" spans="1:9" x14ac:dyDescent="0.3">
      <c r="A33" s="2" t="s">
        <v>91</v>
      </c>
      <c r="B33" s="2" t="s">
        <v>40</v>
      </c>
      <c r="C33" s="2" t="s">
        <v>17</v>
      </c>
      <c r="D33" s="2" t="s">
        <v>22</v>
      </c>
      <c r="E33" s="6">
        <v>82033</v>
      </c>
      <c r="F33" s="4">
        <v>42421</v>
      </c>
      <c r="G33" s="8">
        <v>1</v>
      </c>
      <c r="H33" s="2" t="s">
        <v>13</v>
      </c>
      <c r="I33" s="2" t="s">
        <v>92</v>
      </c>
    </row>
    <row r="34" spans="1:9" x14ac:dyDescent="0.3">
      <c r="A34" s="2" t="s">
        <v>93</v>
      </c>
      <c r="B34" s="2" t="s">
        <v>36</v>
      </c>
      <c r="C34" s="2" t="s">
        <v>29</v>
      </c>
      <c r="D34" s="2" t="s">
        <v>37</v>
      </c>
      <c r="E34" s="6">
        <v>97981</v>
      </c>
      <c r="F34" s="4">
        <v>42442</v>
      </c>
      <c r="G34" s="8">
        <v>5</v>
      </c>
      <c r="H34" s="2" t="s">
        <v>31</v>
      </c>
      <c r="I34" s="2" t="s">
        <v>94</v>
      </c>
    </row>
    <row r="35" spans="1:9" x14ac:dyDescent="0.3">
      <c r="A35" s="2" t="s">
        <v>95</v>
      </c>
      <c r="B35" s="2" t="s">
        <v>10</v>
      </c>
      <c r="C35" s="2" t="s">
        <v>11</v>
      </c>
      <c r="D35" s="2" t="s">
        <v>22</v>
      </c>
      <c r="E35" s="6">
        <v>36541</v>
      </c>
      <c r="F35" s="4">
        <v>42449</v>
      </c>
      <c r="G35" s="8">
        <v>2</v>
      </c>
      <c r="H35" s="2" t="s">
        <v>13</v>
      </c>
      <c r="I35" s="2" t="s">
        <v>96</v>
      </c>
    </row>
    <row r="36" spans="1:9" x14ac:dyDescent="0.3">
      <c r="A36" s="2" t="s">
        <v>97</v>
      </c>
      <c r="B36" s="2" t="s">
        <v>20</v>
      </c>
      <c r="C36" s="2" t="s">
        <v>29</v>
      </c>
      <c r="D36" s="2" t="s">
        <v>30</v>
      </c>
      <c r="E36" s="6">
        <v>84737</v>
      </c>
      <c r="F36" s="4">
        <v>42456</v>
      </c>
      <c r="G36" s="8">
        <v>1</v>
      </c>
      <c r="H36" s="2" t="s">
        <v>23</v>
      </c>
      <c r="I36" s="2" t="s">
        <v>98</v>
      </c>
    </row>
    <row r="37" spans="1:9" x14ac:dyDescent="0.3">
      <c r="A37" s="2" t="s">
        <v>99</v>
      </c>
      <c r="B37" s="2" t="s">
        <v>40</v>
      </c>
      <c r="C37" s="2" t="s">
        <v>17</v>
      </c>
      <c r="D37" s="2" t="s">
        <v>30</v>
      </c>
      <c r="E37" s="6">
        <v>33468</v>
      </c>
      <c r="F37" s="4">
        <v>42463</v>
      </c>
      <c r="G37" s="8">
        <v>4</v>
      </c>
      <c r="H37" s="2" t="s">
        <v>23</v>
      </c>
      <c r="I37" s="2" t="s">
        <v>100</v>
      </c>
    </row>
    <row r="38" spans="1:9" x14ac:dyDescent="0.3">
      <c r="A38" s="2" t="s">
        <v>101</v>
      </c>
      <c r="B38" s="2" t="s">
        <v>16</v>
      </c>
      <c r="C38" s="2" t="s">
        <v>21</v>
      </c>
      <c r="D38" s="2" t="s">
        <v>30</v>
      </c>
      <c r="E38" s="6">
        <v>61942</v>
      </c>
      <c r="F38" s="4">
        <v>42477</v>
      </c>
      <c r="G38" s="8">
        <v>3</v>
      </c>
      <c r="H38" s="2" t="s">
        <v>31</v>
      </c>
      <c r="I38" s="2" t="s">
        <v>102</v>
      </c>
    </row>
    <row r="39" spans="1:9" x14ac:dyDescent="0.3">
      <c r="A39" s="2" t="s">
        <v>103</v>
      </c>
      <c r="B39" s="2" t="s">
        <v>40</v>
      </c>
      <c r="C39" s="2" t="s">
        <v>17</v>
      </c>
      <c r="D39" s="2" t="s">
        <v>37</v>
      </c>
      <c r="E39" s="6">
        <v>41467</v>
      </c>
      <c r="F39" s="4">
        <v>42484</v>
      </c>
      <c r="G39" s="8">
        <v>2</v>
      </c>
      <c r="H39" s="2" t="s">
        <v>13</v>
      </c>
      <c r="I39" s="2" t="s">
        <v>104</v>
      </c>
    </row>
    <row r="40" spans="1:9" x14ac:dyDescent="0.3">
      <c r="A40" s="2" t="s">
        <v>105</v>
      </c>
      <c r="B40" s="2" t="s">
        <v>61</v>
      </c>
      <c r="C40" s="2" t="s">
        <v>17</v>
      </c>
      <c r="D40" s="2" t="s">
        <v>30</v>
      </c>
      <c r="E40" s="6">
        <v>77096</v>
      </c>
      <c r="F40" s="4">
        <v>42491</v>
      </c>
      <c r="G40" s="8">
        <v>1</v>
      </c>
      <c r="H40" s="2" t="s">
        <v>13</v>
      </c>
      <c r="I40" s="2" t="s">
        <v>106</v>
      </c>
    </row>
    <row r="41" spans="1:9" x14ac:dyDescent="0.3">
      <c r="A41" s="2" t="s">
        <v>107</v>
      </c>
      <c r="B41" s="2" t="s">
        <v>10</v>
      </c>
      <c r="C41" s="2" t="s">
        <v>52</v>
      </c>
      <c r="D41" s="2" t="s">
        <v>22</v>
      </c>
      <c r="E41" s="6">
        <v>85065</v>
      </c>
      <c r="F41" s="4">
        <v>42505</v>
      </c>
      <c r="G41" s="8">
        <v>3</v>
      </c>
      <c r="H41" s="2" t="s">
        <v>13</v>
      </c>
      <c r="I41" s="2" t="s">
        <v>108</v>
      </c>
    </row>
    <row r="42" spans="1:9" x14ac:dyDescent="0.3">
      <c r="A42" s="2" t="s">
        <v>109</v>
      </c>
      <c r="B42" s="2" t="s">
        <v>61</v>
      </c>
      <c r="C42" s="2" t="s">
        <v>52</v>
      </c>
      <c r="D42" s="2" t="s">
        <v>30</v>
      </c>
      <c r="E42" s="6">
        <v>56512</v>
      </c>
      <c r="F42" s="4">
        <v>42512</v>
      </c>
      <c r="G42" s="8">
        <f ca="1">ROUND(AVERAGE(G:G),0)</f>
        <v>0</v>
      </c>
      <c r="H42" s="2" t="s">
        <v>13</v>
      </c>
      <c r="I42" s="2" t="s">
        <v>38</v>
      </c>
    </row>
    <row r="43" spans="1:9" x14ac:dyDescent="0.3">
      <c r="A43" s="2" t="s">
        <v>110</v>
      </c>
      <c r="B43" s="2" t="s">
        <v>20</v>
      </c>
      <c r="C43" s="2" t="s">
        <v>21</v>
      </c>
      <c r="D43" s="2" t="s">
        <v>30</v>
      </c>
      <c r="E43" s="6">
        <v>91101</v>
      </c>
      <c r="F43" s="4">
        <v>42519</v>
      </c>
      <c r="G43" s="8">
        <v>4</v>
      </c>
      <c r="H43" s="2" t="s">
        <v>31</v>
      </c>
      <c r="I43" s="2" t="s">
        <v>94</v>
      </c>
    </row>
    <row r="44" spans="1:9" x14ac:dyDescent="0.3">
      <c r="A44" s="2" t="s">
        <v>111</v>
      </c>
      <c r="B44" s="2" t="s">
        <v>10</v>
      </c>
      <c r="C44" s="2" t="s">
        <v>29</v>
      </c>
      <c r="D44" s="2" t="s">
        <v>30</v>
      </c>
      <c r="E44" s="6">
        <v>94301</v>
      </c>
      <c r="F44" s="4">
        <v>42540</v>
      </c>
      <c r="G44" s="8">
        <v>1</v>
      </c>
      <c r="H44" s="2" t="s">
        <v>23</v>
      </c>
      <c r="I44" s="2" t="s">
        <v>92</v>
      </c>
    </row>
    <row r="45" spans="1:9" x14ac:dyDescent="0.3">
      <c r="A45" s="2" t="s">
        <v>112</v>
      </c>
      <c r="B45" s="2" t="s">
        <v>36</v>
      </c>
      <c r="C45" s="2" t="s">
        <v>21</v>
      </c>
      <c r="D45" s="2" t="s">
        <v>22</v>
      </c>
      <c r="E45" s="6">
        <v>66079</v>
      </c>
      <c r="F45" s="4">
        <v>42561</v>
      </c>
      <c r="G45" s="8">
        <v>2</v>
      </c>
      <c r="H45" s="2" t="s">
        <v>13</v>
      </c>
      <c r="I45" s="2" t="s">
        <v>113</v>
      </c>
    </row>
    <row r="46" spans="1:9" x14ac:dyDescent="0.3">
      <c r="A46" s="2" t="s">
        <v>114</v>
      </c>
      <c r="B46" s="2" t="s">
        <v>26</v>
      </c>
      <c r="C46" s="2" t="s">
        <v>21</v>
      </c>
      <c r="D46" s="2" t="s">
        <v>22</v>
      </c>
      <c r="E46" s="6">
        <v>95621</v>
      </c>
      <c r="F46" s="4">
        <v>42575</v>
      </c>
      <c r="G46" s="8">
        <v>3</v>
      </c>
      <c r="H46" s="2" t="s">
        <v>31</v>
      </c>
      <c r="I46" s="2" t="s">
        <v>115</v>
      </c>
    </row>
    <row r="47" spans="1:9" x14ac:dyDescent="0.3">
      <c r="A47" s="2" t="s">
        <v>116</v>
      </c>
      <c r="B47" s="2" t="s">
        <v>10</v>
      </c>
      <c r="C47" s="2" t="s">
        <v>29</v>
      </c>
      <c r="D47" s="2" t="s">
        <v>37</v>
      </c>
      <c r="E47" s="6">
        <v>42262</v>
      </c>
      <c r="F47" s="4">
        <v>42582</v>
      </c>
      <c r="G47" s="8">
        <v>1</v>
      </c>
      <c r="H47" s="2" t="s">
        <v>13</v>
      </c>
      <c r="I47" s="2" t="s">
        <v>117</v>
      </c>
    </row>
    <row r="48" spans="1:9" x14ac:dyDescent="0.3">
      <c r="A48" s="2" t="s">
        <v>118</v>
      </c>
      <c r="B48" s="2" t="s">
        <v>40</v>
      </c>
      <c r="C48" s="2" t="s">
        <v>21</v>
      </c>
      <c r="D48" s="2" t="s">
        <v>30</v>
      </c>
      <c r="E48" s="6">
        <v>99621</v>
      </c>
      <c r="F48" s="4">
        <v>42589</v>
      </c>
      <c r="G48" s="8">
        <f ca="1">ROUND(AVERAGE(G:G),0)</f>
        <v>0</v>
      </c>
      <c r="H48" s="2" t="s">
        <v>13</v>
      </c>
      <c r="I48" s="2" t="s">
        <v>119</v>
      </c>
    </row>
    <row r="49" spans="1:9" x14ac:dyDescent="0.3">
      <c r="A49" s="2" t="s">
        <v>120</v>
      </c>
      <c r="B49" s="2" t="s">
        <v>20</v>
      </c>
      <c r="C49" s="2" t="s">
        <v>52</v>
      </c>
      <c r="D49" s="2" t="s">
        <v>30</v>
      </c>
      <c r="E49" s="6">
        <v>44682</v>
      </c>
      <c r="F49" s="4">
        <v>42596</v>
      </c>
      <c r="G49" s="8">
        <v>4</v>
      </c>
      <c r="H49" s="2" t="s">
        <v>31</v>
      </c>
      <c r="I49" s="2" t="s">
        <v>74</v>
      </c>
    </row>
    <row r="50" spans="1:9" x14ac:dyDescent="0.3">
      <c r="A50" s="2" t="s">
        <v>121</v>
      </c>
      <c r="B50" s="2" t="s">
        <v>36</v>
      </c>
      <c r="C50" s="2" t="s">
        <v>29</v>
      </c>
      <c r="D50" s="2" t="s">
        <v>30</v>
      </c>
      <c r="E50" s="6">
        <v>33483</v>
      </c>
      <c r="F50" s="4">
        <v>42610</v>
      </c>
      <c r="G50" s="8">
        <v>4</v>
      </c>
      <c r="H50" s="2" t="s">
        <v>23</v>
      </c>
      <c r="I50" s="2" t="s">
        <v>122</v>
      </c>
    </row>
    <row r="51" spans="1:9" x14ac:dyDescent="0.3">
      <c r="A51" s="2" t="s">
        <v>123</v>
      </c>
      <c r="B51" s="2" t="s">
        <v>40</v>
      </c>
      <c r="C51" s="2" t="s">
        <v>11</v>
      </c>
      <c r="D51" s="2" t="s">
        <v>12</v>
      </c>
      <c r="E51" s="6">
        <v>55303</v>
      </c>
      <c r="F51" s="4">
        <v>42617</v>
      </c>
      <c r="G51" s="8">
        <v>4</v>
      </c>
      <c r="H51" s="2" t="s">
        <v>23</v>
      </c>
      <c r="I51" s="2" t="s">
        <v>53</v>
      </c>
    </row>
    <row r="52" spans="1:9" x14ac:dyDescent="0.3">
      <c r="A52" s="2" t="s">
        <v>124</v>
      </c>
      <c r="B52" s="2" t="s">
        <v>16</v>
      </c>
      <c r="C52" s="2" t="s">
        <v>11</v>
      </c>
      <c r="D52" s="2" t="s">
        <v>45</v>
      </c>
      <c r="E52" s="6">
        <v>69420</v>
      </c>
      <c r="F52" s="4">
        <v>42645</v>
      </c>
      <c r="G52" s="8">
        <v>1</v>
      </c>
      <c r="H52" s="2" t="s">
        <v>23</v>
      </c>
      <c r="I52" s="2" t="s">
        <v>80</v>
      </c>
    </row>
    <row r="53" spans="1:9" x14ac:dyDescent="0.3">
      <c r="A53" s="2" t="s">
        <v>125</v>
      </c>
      <c r="B53" s="2" t="s">
        <v>61</v>
      </c>
      <c r="C53" s="2" t="s">
        <v>29</v>
      </c>
      <c r="D53" s="2" t="s">
        <v>30</v>
      </c>
      <c r="E53" s="6">
        <v>33264</v>
      </c>
      <c r="F53" s="4">
        <v>42666</v>
      </c>
      <c r="G53" s="8">
        <f t="shared" ref="G53:G54" ca="1" si="1">ROUND(AVERAGE(G:G),0)</f>
        <v>0</v>
      </c>
      <c r="H53" s="2" t="s">
        <v>31</v>
      </c>
      <c r="I53" s="2" t="s">
        <v>126</v>
      </c>
    </row>
    <row r="54" spans="1:9" x14ac:dyDescent="0.3">
      <c r="A54" s="2" t="s">
        <v>127</v>
      </c>
      <c r="B54" s="2" t="s">
        <v>16</v>
      </c>
      <c r="C54" s="2" t="s">
        <v>17</v>
      </c>
      <c r="D54" s="2" t="s">
        <v>45</v>
      </c>
      <c r="E54" s="6">
        <v>96101</v>
      </c>
      <c r="F54" s="4">
        <v>42673</v>
      </c>
      <c r="G54" s="8">
        <f t="shared" ca="1" si="1"/>
        <v>0</v>
      </c>
      <c r="H54" s="2" t="s">
        <v>13</v>
      </c>
      <c r="I54" s="2" t="s">
        <v>128</v>
      </c>
    </row>
    <row r="55" spans="1:9" x14ac:dyDescent="0.3">
      <c r="A55" s="2" t="s">
        <v>129</v>
      </c>
      <c r="B55" s="2" t="s">
        <v>26</v>
      </c>
      <c r="C55" s="2" t="s">
        <v>17</v>
      </c>
      <c r="D55" s="2" t="s">
        <v>22</v>
      </c>
      <c r="E55" s="6">
        <v>72939</v>
      </c>
      <c r="F55" s="4">
        <v>42680</v>
      </c>
      <c r="G55" s="8">
        <v>3</v>
      </c>
      <c r="H55" s="2" t="s">
        <v>13</v>
      </c>
      <c r="I55" s="2" t="s">
        <v>130</v>
      </c>
    </row>
    <row r="56" spans="1:9" x14ac:dyDescent="0.3">
      <c r="A56" s="2" t="s">
        <v>131</v>
      </c>
      <c r="B56" s="2" t="s">
        <v>40</v>
      </c>
      <c r="C56" s="2" t="s">
        <v>11</v>
      </c>
      <c r="D56" s="2" t="s">
        <v>12</v>
      </c>
      <c r="E56" s="6">
        <v>89333</v>
      </c>
      <c r="F56" s="4">
        <v>42687</v>
      </c>
      <c r="G56" s="8">
        <v>1</v>
      </c>
      <c r="H56" s="2" t="s">
        <v>23</v>
      </c>
      <c r="I56" s="2" t="s">
        <v>132</v>
      </c>
    </row>
    <row r="57" spans="1:9" x14ac:dyDescent="0.3">
      <c r="A57" s="2" t="s">
        <v>133</v>
      </c>
      <c r="B57" s="2" t="s">
        <v>61</v>
      </c>
      <c r="C57" s="2" t="s">
        <v>29</v>
      </c>
      <c r="D57" s="2" t="s">
        <v>45</v>
      </c>
      <c r="E57" s="6">
        <v>70470</v>
      </c>
      <c r="F57" s="4">
        <v>42694</v>
      </c>
      <c r="G57" s="8">
        <f ca="1">ROUND(AVERAGE(G:G),0)</f>
        <v>0</v>
      </c>
      <c r="H57" s="2" t="s">
        <v>23</v>
      </c>
      <c r="I57" s="2" t="s">
        <v>134</v>
      </c>
    </row>
    <row r="58" spans="1:9" x14ac:dyDescent="0.3">
      <c r="A58" s="2" t="s">
        <v>135</v>
      </c>
      <c r="B58" s="2" t="s">
        <v>10</v>
      </c>
      <c r="C58" s="2" t="s">
        <v>52</v>
      </c>
      <c r="D58" s="2" t="s">
        <v>22</v>
      </c>
      <c r="E58" s="6">
        <v>70096</v>
      </c>
      <c r="F58" s="4">
        <v>42701</v>
      </c>
      <c r="G58" s="8">
        <v>4</v>
      </c>
      <c r="H58" s="2" t="s">
        <v>23</v>
      </c>
      <c r="I58" s="2" t="s">
        <v>136</v>
      </c>
    </row>
    <row r="59" spans="1:9" x14ac:dyDescent="0.3">
      <c r="A59" s="2" t="s">
        <v>137</v>
      </c>
      <c r="B59" s="2" t="s">
        <v>61</v>
      </c>
      <c r="C59" s="2" t="s">
        <v>29</v>
      </c>
      <c r="D59" s="2" t="s">
        <v>12</v>
      </c>
      <c r="E59" s="6">
        <v>66503</v>
      </c>
      <c r="F59" s="4">
        <v>42715</v>
      </c>
      <c r="G59" s="8">
        <f t="shared" ref="G59:G60" ca="1" si="2">ROUND(AVERAGE(G:G),0)</f>
        <v>0</v>
      </c>
      <c r="H59" s="2" t="s">
        <v>23</v>
      </c>
      <c r="I59" s="2" t="s">
        <v>86</v>
      </c>
    </row>
    <row r="60" spans="1:9" x14ac:dyDescent="0.3">
      <c r="A60" s="2" t="s">
        <v>138</v>
      </c>
      <c r="B60" s="2" t="s">
        <v>16</v>
      </c>
      <c r="C60" s="2" t="s">
        <v>11</v>
      </c>
      <c r="D60" s="2" t="s">
        <v>12</v>
      </c>
      <c r="E60" s="6">
        <v>42096</v>
      </c>
      <c r="F60" s="4">
        <v>42722</v>
      </c>
      <c r="G60" s="8">
        <f t="shared" ca="1" si="2"/>
        <v>0</v>
      </c>
      <c r="H60" s="2" t="s">
        <v>31</v>
      </c>
      <c r="I60" s="2" t="s">
        <v>139</v>
      </c>
    </row>
    <row r="61" spans="1:9" x14ac:dyDescent="0.3">
      <c r="A61" s="2" t="s">
        <v>140</v>
      </c>
      <c r="B61" s="2" t="s">
        <v>40</v>
      </c>
      <c r="C61" s="2" t="s">
        <v>52</v>
      </c>
      <c r="D61" s="2" t="s">
        <v>45</v>
      </c>
      <c r="E61" s="6">
        <v>86412</v>
      </c>
      <c r="F61" s="4">
        <v>42757</v>
      </c>
      <c r="G61" s="8">
        <v>2</v>
      </c>
      <c r="H61" s="2" t="s">
        <v>31</v>
      </c>
      <c r="I61" s="2" t="s">
        <v>50</v>
      </c>
    </row>
    <row r="62" spans="1:9" x14ac:dyDescent="0.3">
      <c r="A62" s="2" t="s">
        <v>141</v>
      </c>
      <c r="B62" s="2" t="s">
        <v>36</v>
      </c>
      <c r="C62" s="2" t="s">
        <v>29</v>
      </c>
      <c r="D62" s="2" t="s">
        <v>22</v>
      </c>
      <c r="E62" s="6">
        <v>34306</v>
      </c>
      <c r="F62" s="4">
        <v>42785</v>
      </c>
      <c r="G62" s="8">
        <v>5</v>
      </c>
      <c r="H62" s="2" t="s">
        <v>31</v>
      </c>
      <c r="I62" s="2" t="s">
        <v>102</v>
      </c>
    </row>
    <row r="63" spans="1:9" x14ac:dyDescent="0.3">
      <c r="A63" s="2" t="s">
        <v>142</v>
      </c>
      <c r="B63" s="2" t="s">
        <v>10</v>
      </c>
      <c r="C63" s="2" t="s">
        <v>17</v>
      </c>
      <c r="D63" s="2" t="s">
        <v>30</v>
      </c>
      <c r="E63" s="6">
        <v>78330</v>
      </c>
      <c r="F63" s="4">
        <v>42792</v>
      </c>
      <c r="G63" s="8">
        <f ca="1">ROUND(AVERAGE(G:G),0)</f>
        <v>0</v>
      </c>
      <c r="H63" s="2" t="s">
        <v>13</v>
      </c>
      <c r="I63" s="2" t="s">
        <v>136</v>
      </c>
    </row>
    <row r="64" spans="1:9" x14ac:dyDescent="0.3">
      <c r="A64" s="2" t="s">
        <v>143</v>
      </c>
      <c r="B64" s="2" t="s">
        <v>16</v>
      </c>
      <c r="C64" s="2" t="s">
        <v>29</v>
      </c>
      <c r="D64" s="2" t="s">
        <v>22</v>
      </c>
      <c r="E64" s="6">
        <v>47653</v>
      </c>
      <c r="F64" s="4">
        <v>42799</v>
      </c>
      <c r="G64" s="8">
        <v>1</v>
      </c>
      <c r="H64" s="2" t="s">
        <v>23</v>
      </c>
      <c r="I64" s="2" t="s">
        <v>144</v>
      </c>
    </row>
    <row r="65" spans="1:9" x14ac:dyDescent="0.3">
      <c r="A65" s="2" t="s">
        <v>145</v>
      </c>
      <c r="B65" s="2" t="s">
        <v>10</v>
      </c>
      <c r="C65" s="2" t="s">
        <v>52</v>
      </c>
      <c r="D65" s="2" t="s">
        <v>37</v>
      </c>
      <c r="E65" s="6">
        <v>44627</v>
      </c>
      <c r="F65" s="4">
        <v>42806</v>
      </c>
      <c r="G65" s="8">
        <v>4</v>
      </c>
      <c r="H65" s="2" t="s">
        <v>13</v>
      </c>
      <c r="I65" s="2" t="s">
        <v>96</v>
      </c>
    </row>
    <row r="66" spans="1:9" x14ac:dyDescent="0.3">
      <c r="A66" s="2" t="s">
        <v>146</v>
      </c>
      <c r="B66" s="2" t="s">
        <v>61</v>
      </c>
      <c r="C66" s="2" t="s">
        <v>11</v>
      </c>
      <c r="D66" s="2" t="s">
        <v>12</v>
      </c>
      <c r="E66" s="6">
        <v>92343</v>
      </c>
      <c r="F66" s="4">
        <v>42813</v>
      </c>
      <c r="G66" s="8">
        <v>4</v>
      </c>
      <c r="H66" s="2" t="s">
        <v>31</v>
      </c>
      <c r="I66" s="2" t="s">
        <v>53</v>
      </c>
    </row>
    <row r="67" spans="1:9" x14ac:dyDescent="0.3">
      <c r="A67" s="2" t="s">
        <v>147</v>
      </c>
      <c r="B67" s="2" t="s">
        <v>61</v>
      </c>
      <c r="C67" s="2" t="s">
        <v>52</v>
      </c>
      <c r="D67" s="2" t="s">
        <v>45</v>
      </c>
      <c r="E67" s="6">
        <v>38837</v>
      </c>
      <c r="F67" s="4">
        <v>42820</v>
      </c>
      <c r="G67" s="8">
        <v>5</v>
      </c>
      <c r="H67" s="2" t="s">
        <v>31</v>
      </c>
      <c r="I67" s="2" t="s">
        <v>102</v>
      </c>
    </row>
    <row r="68" spans="1:9" x14ac:dyDescent="0.3">
      <c r="A68" s="2" t="s">
        <v>148</v>
      </c>
      <c r="B68" s="2" t="s">
        <v>36</v>
      </c>
      <c r="C68" s="2" t="s">
        <v>21</v>
      </c>
      <c r="D68" s="2" t="s">
        <v>30</v>
      </c>
      <c r="E68" s="6">
        <v>95032</v>
      </c>
      <c r="F68" s="4">
        <v>42834</v>
      </c>
      <c r="G68" s="8">
        <v>3</v>
      </c>
      <c r="H68" s="2" t="s">
        <v>13</v>
      </c>
      <c r="I68" s="2" t="s">
        <v>149</v>
      </c>
    </row>
    <row r="69" spans="1:9" x14ac:dyDescent="0.3">
      <c r="A69" s="2" t="s">
        <v>150</v>
      </c>
      <c r="B69" s="2" t="s">
        <v>10</v>
      </c>
      <c r="C69" s="2" t="s">
        <v>21</v>
      </c>
      <c r="D69" s="2" t="s">
        <v>45</v>
      </c>
      <c r="E69" s="6">
        <v>44358</v>
      </c>
      <c r="F69" s="4">
        <v>42841</v>
      </c>
      <c r="G69" s="8">
        <f ca="1">ROUND(AVERAGE(G:G),0)</f>
        <v>0</v>
      </c>
      <c r="H69" s="2" t="s">
        <v>31</v>
      </c>
      <c r="I69" s="2" t="s">
        <v>86</v>
      </c>
    </row>
    <row r="70" spans="1:9" x14ac:dyDescent="0.3">
      <c r="A70" s="2" t="s">
        <v>151</v>
      </c>
      <c r="B70" s="2" t="s">
        <v>36</v>
      </c>
      <c r="C70" s="2" t="s">
        <v>21</v>
      </c>
      <c r="D70" s="2" t="s">
        <v>22</v>
      </c>
      <c r="E70" s="6">
        <v>45676</v>
      </c>
      <c r="F70" s="4">
        <v>42855</v>
      </c>
      <c r="G70" s="8">
        <v>2</v>
      </c>
      <c r="H70" s="2" t="s">
        <v>13</v>
      </c>
      <c r="I70" s="2" t="s">
        <v>152</v>
      </c>
    </row>
    <row r="71" spans="1:9" x14ac:dyDescent="0.3">
      <c r="A71" s="2" t="s">
        <v>153</v>
      </c>
      <c r="B71" s="2" t="s">
        <v>61</v>
      </c>
      <c r="C71" s="2" t="s">
        <v>21</v>
      </c>
      <c r="D71" s="2" t="s">
        <v>12</v>
      </c>
      <c r="E71" s="6">
        <v>52036</v>
      </c>
      <c r="F71" s="4">
        <v>42862</v>
      </c>
      <c r="G71" s="8">
        <v>3</v>
      </c>
      <c r="H71" s="2" t="s">
        <v>23</v>
      </c>
      <c r="I71" s="2" t="s">
        <v>154</v>
      </c>
    </row>
    <row r="72" spans="1:9" x14ac:dyDescent="0.3">
      <c r="A72" s="2" t="s">
        <v>155</v>
      </c>
      <c r="B72" s="2" t="s">
        <v>20</v>
      </c>
      <c r="C72" s="2" t="s">
        <v>17</v>
      </c>
      <c r="D72" s="2" t="s">
        <v>22</v>
      </c>
      <c r="E72" s="6">
        <v>91953</v>
      </c>
      <c r="F72" s="4">
        <v>42897</v>
      </c>
      <c r="G72" s="8">
        <v>2</v>
      </c>
      <c r="H72" s="2" t="s">
        <v>23</v>
      </c>
      <c r="I72" s="2" t="s">
        <v>62</v>
      </c>
    </row>
    <row r="73" spans="1:9" x14ac:dyDescent="0.3">
      <c r="A73" s="2" t="s">
        <v>156</v>
      </c>
      <c r="B73" s="2" t="s">
        <v>36</v>
      </c>
      <c r="C73" s="2" t="s">
        <v>21</v>
      </c>
      <c r="D73" s="2" t="s">
        <v>22</v>
      </c>
      <c r="E73" s="6">
        <v>30402</v>
      </c>
      <c r="F73" s="4">
        <v>42904</v>
      </c>
      <c r="G73" s="8">
        <v>1</v>
      </c>
      <c r="H73" s="2" t="s">
        <v>13</v>
      </c>
      <c r="I73" s="2" t="s">
        <v>157</v>
      </c>
    </row>
    <row r="74" spans="1:9" x14ac:dyDescent="0.3">
      <c r="A74" s="2" t="s">
        <v>158</v>
      </c>
      <c r="B74" s="2" t="s">
        <v>40</v>
      </c>
      <c r="C74" s="2" t="s">
        <v>52</v>
      </c>
      <c r="D74" s="2" t="s">
        <v>12</v>
      </c>
      <c r="E74" s="6">
        <v>34402</v>
      </c>
      <c r="F74" s="4">
        <v>42925</v>
      </c>
      <c r="G74" s="8">
        <v>3</v>
      </c>
      <c r="H74" s="2" t="s">
        <v>13</v>
      </c>
      <c r="I74" s="2" t="s">
        <v>72</v>
      </c>
    </row>
    <row r="75" spans="1:9" x14ac:dyDescent="0.3">
      <c r="A75" s="2" t="s">
        <v>159</v>
      </c>
      <c r="B75" s="2" t="s">
        <v>10</v>
      </c>
      <c r="C75" s="2" t="s">
        <v>11</v>
      </c>
      <c r="D75" s="2" t="s">
        <v>22</v>
      </c>
      <c r="E75" s="6">
        <v>38678</v>
      </c>
      <c r="F75" s="4">
        <v>42932</v>
      </c>
      <c r="G75" s="8">
        <v>3</v>
      </c>
      <c r="H75" s="2" t="s">
        <v>13</v>
      </c>
      <c r="I75" s="2" t="s">
        <v>160</v>
      </c>
    </row>
    <row r="76" spans="1:9" x14ac:dyDescent="0.3">
      <c r="A76" s="2" t="s">
        <v>161</v>
      </c>
      <c r="B76" s="2" t="s">
        <v>36</v>
      </c>
      <c r="C76" s="2" t="s">
        <v>11</v>
      </c>
      <c r="D76" s="2" t="s">
        <v>12</v>
      </c>
      <c r="E76" s="6">
        <v>45758</v>
      </c>
      <c r="F76" s="4">
        <v>42939</v>
      </c>
      <c r="G76" s="8">
        <v>3</v>
      </c>
      <c r="H76" s="2" t="s">
        <v>13</v>
      </c>
      <c r="I76" s="2" t="s">
        <v>162</v>
      </c>
    </row>
    <row r="77" spans="1:9" x14ac:dyDescent="0.3">
      <c r="A77" s="2" t="s">
        <v>163</v>
      </c>
      <c r="B77" s="2" t="s">
        <v>10</v>
      </c>
      <c r="C77" s="2" t="s">
        <v>52</v>
      </c>
      <c r="D77" s="2" t="s">
        <v>30</v>
      </c>
      <c r="E77" s="6">
        <v>62476</v>
      </c>
      <c r="F77" s="4">
        <v>42946</v>
      </c>
      <c r="G77" s="8">
        <v>1</v>
      </c>
      <c r="H77" s="2" t="s">
        <v>13</v>
      </c>
      <c r="I77" s="2" t="s">
        <v>90</v>
      </c>
    </row>
    <row r="78" spans="1:9" x14ac:dyDescent="0.3">
      <c r="A78" s="2" t="s">
        <v>164</v>
      </c>
      <c r="B78" s="2" t="s">
        <v>26</v>
      </c>
      <c r="C78" s="2" t="s">
        <v>17</v>
      </c>
      <c r="D78" s="2" t="s">
        <v>30</v>
      </c>
      <c r="E78" s="6">
        <v>60335</v>
      </c>
      <c r="F78" s="4">
        <v>42960</v>
      </c>
      <c r="G78" s="8">
        <v>4</v>
      </c>
      <c r="H78" s="2" t="s">
        <v>13</v>
      </c>
      <c r="I78" s="2" t="s">
        <v>84</v>
      </c>
    </row>
    <row r="79" spans="1:9" x14ac:dyDescent="0.3">
      <c r="A79" s="2" t="s">
        <v>165</v>
      </c>
      <c r="B79" s="2" t="s">
        <v>36</v>
      </c>
      <c r="C79" s="2" t="s">
        <v>11</v>
      </c>
      <c r="D79" s="2" t="s">
        <v>12</v>
      </c>
      <c r="E79" s="6">
        <v>84968</v>
      </c>
      <c r="F79" s="4">
        <v>42967</v>
      </c>
      <c r="G79" s="8">
        <f ca="1">ROUND(AVERAGE(G:G),0)</f>
        <v>0</v>
      </c>
      <c r="H79" s="2" t="s">
        <v>13</v>
      </c>
      <c r="I79" s="2" t="s">
        <v>166</v>
      </c>
    </row>
    <row r="80" spans="1:9" x14ac:dyDescent="0.3">
      <c r="A80" s="2" t="s">
        <v>167</v>
      </c>
      <c r="B80" s="2" t="s">
        <v>36</v>
      </c>
      <c r="C80" s="2" t="s">
        <v>52</v>
      </c>
      <c r="D80" s="2" t="s">
        <v>45</v>
      </c>
      <c r="E80" s="6">
        <v>84750</v>
      </c>
      <c r="F80" s="4">
        <v>42974</v>
      </c>
      <c r="G80" s="8">
        <v>4</v>
      </c>
      <c r="H80" s="2" t="s">
        <v>31</v>
      </c>
      <c r="I80" s="2" t="s">
        <v>168</v>
      </c>
    </row>
    <row r="81" spans="1:9" x14ac:dyDescent="0.3">
      <c r="A81" s="2" t="s">
        <v>169</v>
      </c>
      <c r="B81" s="2" t="s">
        <v>26</v>
      </c>
      <c r="C81" s="2" t="s">
        <v>52</v>
      </c>
      <c r="D81" s="2" t="s">
        <v>22</v>
      </c>
      <c r="E81" s="6">
        <v>66882</v>
      </c>
      <c r="F81" s="4">
        <v>42995</v>
      </c>
      <c r="G81" s="8">
        <v>5</v>
      </c>
      <c r="H81" s="2" t="s">
        <v>13</v>
      </c>
      <c r="I81" s="2" t="s">
        <v>57</v>
      </c>
    </row>
    <row r="82" spans="1:9" x14ac:dyDescent="0.3">
      <c r="A82" s="2" t="s">
        <v>170</v>
      </c>
      <c r="B82" s="2" t="s">
        <v>36</v>
      </c>
      <c r="C82" s="2" t="s">
        <v>21</v>
      </c>
      <c r="D82" s="2" t="s">
        <v>37</v>
      </c>
      <c r="E82" s="6">
        <v>91620</v>
      </c>
      <c r="F82" s="4">
        <v>43009</v>
      </c>
      <c r="G82" s="8">
        <f ca="1">ROUND(AVERAGE(G:G),0)</f>
        <v>0</v>
      </c>
      <c r="H82" s="2" t="s">
        <v>13</v>
      </c>
      <c r="I82" s="2" t="s">
        <v>171</v>
      </c>
    </row>
    <row r="83" spans="1:9" x14ac:dyDescent="0.3">
      <c r="A83" s="2" t="s">
        <v>172</v>
      </c>
      <c r="B83" s="2" t="s">
        <v>40</v>
      </c>
      <c r="C83" s="2" t="s">
        <v>21</v>
      </c>
      <c r="D83" s="2" t="s">
        <v>45</v>
      </c>
      <c r="E83" s="6">
        <v>35627</v>
      </c>
      <c r="F83" s="4">
        <v>43023</v>
      </c>
      <c r="G83" s="8">
        <v>5</v>
      </c>
      <c r="H83" s="2" t="s">
        <v>31</v>
      </c>
      <c r="I83" s="2" t="s">
        <v>160</v>
      </c>
    </row>
    <row r="84" spans="1:9" x14ac:dyDescent="0.3">
      <c r="A84" s="2" t="s">
        <v>173</v>
      </c>
      <c r="B84" s="2" t="s">
        <v>20</v>
      </c>
      <c r="C84" s="2" t="s">
        <v>52</v>
      </c>
      <c r="D84" s="2" t="s">
        <v>22</v>
      </c>
      <c r="E84" s="6">
        <v>57141</v>
      </c>
      <c r="F84" s="4">
        <v>43030</v>
      </c>
      <c r="G84" s="8">
        <v>2</v>
      </c>
      <c r="H84" s="2" t="s">
        <v>13</v>
      </c>
      <c r="I84" s="2" t="s">
        <v>166</v>
      </c>
    </row>
    <row r="85" spans="1:9" x14ac:dyDescent="0.3">
      <c r="A85" s="2" t="s">
        <v>174</v>
      </c>
      <c r="B85" s="2" t="s">
        <v>61</v>
      </c>
      <c r="C85" s="2" t="s">
        <v>21</v>
      </c>
      <c r="D85" s="2" t="s">
        <v>45</v>
      </c>
      <c r="E85" s="6">
        <v>65270</v>
      </c>
      <c r="F85" s="4">
        <v>43037</v>
      </c>
      <c r="G85" s="8">
        <v>1</v>
      </c>
      <c r="H85" s="2" t="s">
        <v>13</v>
      </c>
      <c r="I85" s="2" t="s">
        <v>175</v>
      </c>
    </row>
    <row r="86" spans="1:9" x14ac:dyDescent="0.3">
      <c r="A86" s="2" t="s">
        <v>176</v>
      </c>
      <c r="B86" s="2" t="s">
        <v>40</v>
      </c>
      <c r="C86" s="2" t="s">
        <v>52</v>
      </c>
      <c r="D86" s="2" t="s">
        <v>30</v>
      </c>
      <c r="E86" s="6">
        <v>98475</v>
      </c>
      <c r="F86" s="4">
        <v>43051</v>
      </c>
      <c r="G86" s="8">
        <v>5</v>
      </c>
      <c r="H86" s="2" t="s">
        <v>13</v>
      </c>
      <c r="I86" s="2" t="s">
        <v>177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12"/>
  <sheetViews>
    <sheetView workbookViewId="0">
      <selection activeCell="C113" sqref="C113"/>
    </sheetView>
  </sheetViews>
  <sheetFormatPr defaultRowHeight="14.4" x14ac:dyDescent="0.3"/>
  <cols>
    <col min="1" max="1" width="13.33203125" bestFit="1" customWidth="1"/>
    <col min="2" max="2" width="19.5546875" bestFit="1" customWidth="1"/>
    <col min="3" max="3" width="28.6640625" bestFit="1" customWidth="1"/>
    <col min="4" max="4" width="10.77734375" bestFit="1" customWidth="1"/>
    <col min="5" max="5" width="19.5546875" bestFit="1" customWidth="1"/>
    <col min="6" max="6" width="13" bestFit="1" customWidth="1"/>
    <col min="7" max="7" width="13.33203125" bestFit="1" customWidth="1"/>
    <col min="8" max="8" width="12.44140625" bestFit="1" customWidth="1"/>
    <col min="9" max="9" width="13" bestFit="1" customWidth="1"/>
    <col min="10" max="10" width="13.33203125" bestFit="1" customWidth="1"/>
    <col min="11" max="11" width="27.6640625" bestFit="1" customWidth="1"/>
    <col min="12" max="12" width="20.109375" bestFit="1" customWidth="1"/>
    <col min="13" max="13" width="10.6640625" bestFit="1" customWidth="1"/>
  </cols>
  <sheetData>
    <row r="2" spans="1:13" x14ac:dyDescent="0.3">
      <c r="D2" s="9" t="s">
        <v>3</v>
      </c>
      <c r="E2" t="s">
        <v>178</v>
      </c>
      <c r="G2" s="9" t="s">
        <v>2</v>
      </c>
      <c r="H2" t="s">
        <v>179</v>
      </c>
      <c r="J2" s="9" t="s">
        <v>6</v>
      </c>
      <c r="K2" t="s">
        <v>178</v>
      </c>
    </row>
    <row r="3" spans="1:13" x14ac:dyDescent="0.3">
      <c r="A3" t="s">
        <v>178</v>
      </c>
      <c r="D3" t="s">
        <v>45</v>
      </c>
      <c r="E3" s="13">
        <v>13</v>
      </c>
      <c r="G3" t="s">
        <v>17</v>
      </c>
      <c r="H3" s="6">
        <v>63185.4</v>
      </c>
      <c r="J3" s="8">
        <v>0</v>
      </c>
      <c r="K3" s="13">
        <v>17</v>
      </c>
    </row>
    <row r="4" spans="1:13" x14ac:dyDescent="0.3">
      <c r="A4" s="13">
        <v>85</v>
      </c>
      <c r="D4" t="s">
        <v>12</v>
      </c>
      <c r="E4" s="13">
        <v>18</v>
      </c>
      <c r="G4" t="s">
        <v>11</v>
      </c>
      <c r="H4" s="6">
        <v>64206.9375</v>
      </c>
      <c r="J4" s="8">
        <v>1</v>
      </c>
      <c r="K4" s="13">
        <v>17</v>
      </c>
    </row>
    <row r="5" spans="1:13" x14ac:dyDescent="0.3">
      <c r="D5" t="s">
        <v>30</v>
      </c>
      <c r="E5" s="13">
        <v>20</v>
      </c>
      <c r="G5" t="s">
        <v>29</v>
      </c>
      <c r="H5" s="6">
        <v>66489.882352941175</v>
      </c>
      <c r="J5" s="8">
        <v>2</v>
      </c>
      <c r="K5" s="13">
        <v>11</v>
      </c>
    </row>
    <row r="6" spans="1:13" x14ac:dyDescent="0.3">
      <c r="D6" t="s">
        <v>37</v>
      </c>
      <c r="E6" s="13">
        <v>16</v>
      </c>
      <c r="G6" t="s">
        <v>52</v>
      </c>
      <c r="H6" s="6">
        <v>62382.388888888891</v>
      </c>
      <c r="J6" s="8">
        <v>3</v>
      </c>
      <c r="K6" s="13">
        <v>16</v>
      </c>
    </row>
    <row r="7" spans="1:13" x14ac:dyDescent="0.3">
      <c r="D7" t="s">
        <v>22</v>
      </c>
      <c r="E7" s="13">
        <v>18</v>
      </c>
      <c r="G7" t="s">
        <v>21</v>
      </c>
      <c r="H7" s="6">
        <v>67811.15789473684</v>
      </c>
      <c r="J7" s="8">
        <v>4</v>
      </c>
      <c r="K7" s="13">
        <v>11</v>
      </c>
    </row>
    <row r="8" spans="1:13" x14ac:dyDescent="0.3">
      <c r="D8" t="s">
        <v>180</v>
      </c>
      <c r="E8" s="13">
        <v>85</v>
      </c>
      <c r="G8" t="s">
        <v>180</v>
      </c>
      <c r="H8" s="6">
        <v>64902.529411764706</v>
      </c>
      <c r="J8" s="8">
        <v>5</v>
      </c>
      <c r="K8" s="13">
        <v>13</v>
      </c>
    </row>
    <row r="9" spans="1:13" x14ac:dyDescent="0.3">
      <c r="A9" s="9" t="s">
        <v>2</v>
      </c>
      <c r="B9" t="s">
        <v>178</v>
      </c>
      <c r="J9" s="8" t="s">
        <v>180</v>
      </c>
      <c r="K9" s="13">
        <v>85</v>
      </c>
    </row>
    <row r="10" spans="1:13" x14ac:dyDescent="0.3">
      <c r="A10" t="s">
        <v>17</v>
      </c>
      <c r="B10" s="13">
        <v>15</v>
      </c>
      <c r="M10" s="10">
        <f>ROUND(GETPIVOTDATA("Salary",$G$2),2)</f>
        <v>64902.53</v>
      </c>
    </row>
    <row r="11" spans="1:13" x14ac:dyDescent="0.3">
      <c r="A11" t="s">
        <v>11</v>
      </c>
      <c r="B11" s="13">
        <v>16</v>
      </c>
      <c r="D11" s="9" t="s">
        <v>7</v>
      </c>
      <c r="E11" t="s">
        <v>178</v>
      </c>
      <c r="G11" s="9" t="s">
        <v>2</v>
      </c>
      <c r="H11" t="s">
        <v>181</v>
      </c>
      <c r="J11" s="9" t="s">
        <v>2</v>
      </c>
      <c r="K11" t="s">
        <v>182</v>
      </c>
    </row>
    <row r="12" spans="1:13" x14ac:dyDescent="0.3">
      <c r="A12" t="s">
        <v>29</v>
      </c>
      <c r="B12" s="13">
        <v>17</v>
      </c>
      <c r="D12" t="s">
        <v>31</v>
      </c>
      <c r="E12" s="13">
        <v>23</v>
      </c>
      <c r="G12" t="s">
        <v>17</v>
      </c>
      <c r="H12" s="6">
        <v>96101</v>
      </c>
      <c r="J12" t="s">
        <v>17</v>
      </c>
      <c r="K12" s="8">
        <v>1.9333333333333333</v>
      </c>
    </row>
    <row r="13" spans="1:13" x14ac:dyDescent="0.3">
      <c r="A13" t="s">
        <v>52</v>
      </c>
      <c r="B13" s="13">
        <v>18</v>
      </c>
      <c r="D13" t="s">
        <v>23</v>
      </c>
      <c r="E13" s="13">
        <v>20</v>
      </c>
      <c r="G13" t="s">
        <v>11</v>
      </c>
      <c r="H13" s="6">
        <v>92343</v>
      </c>
      <c r="J13" t="s">
        <v>11</v>
      </c>
      <c r="K13" s="8">
        <v>2.25</v>
      </c>
    </row>
    <row r="14" spans="1:13" x14ac:dyDescent="0.3">
      <c r="A14" t="s">
        <v>21</v>
      </c>
      <c r="B14" s="13">
        <v>19</v>
      </c>
      <c r="D14" t="s">
        <v>13</v>
      </c>
      <c r="E14" s="13">
        <v>42</v>
      </c>
      <c r="G14" t="s">
        <v>29</v>
      </c>
      <c r="H14" s="6">
        <v>97981</v>
      </c>
      <c r="J14" t="s">
        <v>29</v>
      </c>
      <c r="K14" s="8">
        <v>1.8235294117647058</v>
      </c>
    </row>
    <row r="15" spans="1:13" x14ac:dyDescent="0.3">
      <c r="A15" t="s">
        <v>180</v>
      </c>
      <c r="B15" s="13">
        <v>85</v>
      </c>
      <c r="D15" t="s">
        <v>180</v>
      </c>
      <c r="E15" s="13">
        <v>85</v>
      </c>
      <c r="G15" t="s">
        <v>52</v>
      </c>
      <c r="H15" s="6">
        <v>98475</v>
      </c>
      <c r="J15" t="s">
        <v>52</v>
      </c>
      <c r="K15" s="8">
        <v>3.3333333333333335</v>
      </c>
    </row>
    <row r="16" spans="1:13" x14ac:dyDescent="0.3">
      <c r="G16" t="s">
        <v>21</v>
      </c>
      <c r="H16" s="6">
        <v>99621</v>
      </c>
      <c r="J16" t="s">
        <v>21</v>
      </c>
      <c r="K16" s="8">
        <v>2.1052631578947367</v>
      </c>
    </row>
    <row r="17" spans="1:13" x14ac:dyDescent="0.3">
      <c r="G17" t="s">
        <v>180</v>
      </c>
      <c r="H17" s="6">
        <v>99621</v>
      </c>
      <c r="J17" t="s">
        <v>180</v>
      </c>
      <c r="K17" s="8">
        <v>2.3058823529411763</v>
      </c>
    </row>
    <row r="18" spans="1:13" x14ac:dyDescent="0.3">
      <c r="A18" s="9" t="s">
        <v>5</v>
      </c>
      <c r="B18" t="s">
        <v>178</v>
      </c>
    </row>
    <row r="19" spans="1:13" x14ac:dyDescent="0.3">
      <c r="A19" s="4">
        <v>42015</v>
      </c>
      <c r="B19" s="13">
        <v>1</v>
      </c>
      <c r="D19" s="9" t="s">
        <v>2</v>
      </c>
      <c r="E19" t="s">
        <v>183</v>
      </c>
      <c r="G19" s="9" t="s">
        <v>3</v>
      </c>
      <c r="H19" t="s">
        <v>179</v>
      </c>
      <c r="M19">
        <f>ROUND(GETPIVOTDATA("Performance Rating",$J$11),2)</f>
        <v>2.31</v>
      </c>
    </row>
    <row r="20" spans="1:13" x14ac:dyDescent="0.3">
      <c r="A20" s="4">
        <v>42022</v>
      </c>
      <c r="B20" s="13">
        <v>1</v>
      </c>
      <c r="D20" t="s">
        <v>17</v>
      </c>
      <c r="E20" s="6">
        <v>947781</v>
      </c>
      <c r="G20" t="s">
        <v>45</v>
      </c>
      <c r="H20" s="6">
        <v>62113.230769230766</v>
      </c>
    </row>
    <row r="21" spans="1:13" x14ac:dyDescent="0.3">
      <c r="A21" s="4">
        <v>42029</v>
      </c>
      <c r="B21" s="13">
        <v>1</v>
      </c>
      <c r="D21" t="s">
        <v>11</v>
      </c>
      <c r="E21" s="6">
        <v>1027311</v>
      </c>
      <c r="G21" t="s">
        <v>12</v>
      </c>
      <c r="H21" s="6">
        <v>67576.444444444438</v>
      </c>
    </row>
    <row r="22" spans="1:13" x14ac:dyDescent="0.3">
      <c r="A22" s="4">
        <v>42036</v>
      </c>
      <c r="B22" s="13">
        <v>1</v>
      </c>
      <c r="D22" t="s">
        <v>29</v>
      </c>
      <c r="E22" s="6">
        <v>1130328</v>
      </c>
      <c r="G22" t="s">
        <v>30</v>
      </c>
      <c r="H22" s="6">
        <v>65963.850000000006</v>
      </c>
    </row>
    <row r="23" spans="1:13" x14ac:dyDescent="0.3">
      <c r="A23" s="4">
        <v>42043</v>
      </c>
      <c r="B23" s="13">
        <v>1</v>
      </c>
      <c r="D23" t="s">
        <v>52</v>
      </c>
      <c r="E23" s="6">
        <v>1122883</v>
      </c>
      <c r="G23" t="s">
        <v>37</v>
      </c>
      <c r="H23" s="6">
        <v>61072.375</v>
      </c>
    </row>
    <row r="24" spans="1:13" x14ac:dyDescent="0.3">
      <c r="A24" s="4">
        <v>42064</v>
      </c>
      <c r="B24" s="13">
        <v>1</v>
      </c>
      <c r="D24" t="s">
        <v>21</v>
      </c>
      <c r="E24" s="6">
        <v>1288412</v>
      </c>
      <c r="G24" t="s">
        <v>22</v>
      </c>
      <c r="H24" s="6">
        <v>66468.444444444438</v>
      </c>
    </row>
    <row r="25" spans="1:13" x14ac:dyDescent="0.3">
      <c r="A25" s="4">
        <v>42071</v>
      </c>
      <c r="B25" s="13">
        <v>1</v>
      </c>
      <c r="D25" t="s">
        <v>180</v>
      </c>
      <c r="E25" s="6">
        <v>5516715</v>
      </c>
      <c r="G25" t="s">
        <v>180</v>
      </c>
      <c r="H25" s="6">
        <v>64902.529411764706</v>
      </c>
    </row>
    <row r="26" spans="1:13" x14ac:dyDescent="0.3">
      <c r="A26" s="4">
        <v>42078</v>
      </c>
      <c r="B26" s="13">
        <v>1</v>
      </c>
    </row>
    <row r="27" spans="1:13" x14ac:dyDescent="0.3">
      <c r="A27" s="4">
        <v>42085</v>
      </c>
      <c r="B27" s="13">
        <v>1</v>
      </c>
    </row>
    <row r="28" spans="1:13" x14ac:dyDescent="0.3">
      <c r="A28" s="4">
        <v>42127</v>
      </c>
      <c r="B28" s="13">
        <v>1</v>
      </c>
    </row>
    <row r="29" spans="1:13" x14ac:dyDescent="0.3">
      <c r="A29" s="4">
        <v>42134</v>
      </c>
      <c r="B29" s="13">
        <v>1</v>
      </c>
    </row>
    <row r="30" spans="1:13" x14ac:dyDescent="0.3">
      <c r="A30" s="4">
        <v>42162</v>
      </c>
      <c r="B30" s="13">
        <v>1</v>
      </c>
    </row>
    <row r="31" spans="1:13" x14ac:dyDescent="0.3">
      <c r="A31" s="4">
        <v>42169</v>
      </c>
      <c r="B31" s="13">
        <v>1</v>
      </c>
    </row>
    <row r="32" spans="1:13" x14ac:dyDescent="0.3">
      <c r="A32" s="4">
        <v>42190</v>
      </c>
      <c r="B32" s="13">
        <v>1</v>
      </c>
    </row>
    <row r="33" spans="1:2" x14ac:dyDescent="0.3">
      <c r="A33" s="4">
        <v>42197</v>
      </c>
      <c r="B33" s="13">
        <v>1</v>
      </c>
    </row>
    <row r="34" spans="1:2" x14ac:dyDescent="0.3">
      <c r="A34" s="4">
        <v>42204</v>
      </c>
      <c r="B34" s="13">
        <v>1</v>
      </c>
    </row>
    <row r="35" spans="1:2" x14ac:dyDescent="0.3">
      <c r="A35" s="4">
        <v>42211</v>
      </c>
      <c r="B35" s="13">
        <v>1</v>
      </c>
    </row>
    <row r="36" spans="1:2" x14ac:dyDescent="0.3">
      <c r="A36" s="4">
        <v>42225</v>
      </c>
      <c r="B36" s="13">
        <v>1</v>
      </c>
    </row>
    <row r="37" spans="1:2" x14ac:dyDescent="0.3">
      <c r="A37" s="4">
        <v>42246</v>
      </c>
      <c r="B37" s="13">
        <v>1</v>
      </c>
    </row>
    <row r="38" spans="1:2" x14ac:dyDescent="0.3">
      <c r="A38" s="4">
        <v>42260</v>
      </c>
      <c r="B38" s="13">
        <v>1</v>
      </c>
    </row>
    <row r="39" spans="1:2" x14ac:dyDescent="0.3">
      <c r="A39" s="4">
        <v>42274</v>
      </c>
      <c r="B39" s="13">
        <v>1</v>
      </c>
    </row>
    <row r="40" spans="1:2" x14ac:dyDescent="0.3">
      <c r="A40" s="4">
        <v>42281</v>
      </c>
      <c r="B40" s="13">
        <v>1</v>
      </c>
    </row>
    <row r="41" spans="1:2" x14ac:dyDescent="0.3">
      <c r="A41" s="4">
        <v>42295</v>
      </c>
      <c r="B41" s="13">
        <v>1</v>
      </c>
    </row>
    <row r="42" spans="1:2" x14ac:dyDescent="0.3">
      <c r="A42" s="4">
        <v>42309</v>
      </c>
      <c r="B42" s="13">
        <v>1</v>
      </c>
    </row>
    <row r="43" spans="1:2" x14ac:dyDescent="0.3">
      <c r="A43" s="4">
        <v>42330</v>
      </c>
      <c r="B43" s="13">
        <v>1</v>
      </c>
    </row>
    <row r="44" spans="1:2" x14ac:dyDescent="0.3">
      <c r="A44" s="4">
        <v>42337</v>
      </c>
      <c r="B44" s="13">
        <v>1</v>
      </c>
    </row>
    <row r="45" spans="1:2" x14ac:dyDescent="0.3">
      <c r="A45" s="4">
        <v>42351</v>
      </c>
      <c r="B45" s="13">
        <v>1</v>
      </c>
    </row>
    <row r="46" spans="1:2" x14ac:dyDescent="0.3">
      <c r="A46" s="4">
        <v>42365</v>
      </c>
      <c r="B46" s="13">
        <v>1</v>
      </c>
    </row>
    <row r="47" spans="1:2" x14ac:dyDescent="0.3">
      <c r="A47" s="4">
        <v>42379</v>
      </c>
      <c r="B47" s="13">
        <v>1</v>
      </c>
    </row>
    <row r="48" spans="1:2" x14ac:dyDescent="0.3">
      <c r="A48" s="4">
        <v>42386</v>
      </c>
      <c r="B48" s="13">
        <v>1</v>
      </c>
    </row>
    <row r="49" spans="1:2" x14ac:dyDescent="0.3">
      <c r="A49" s="4">
        <v>42400</v>
      </c>
      <c r="B49" s="13">
        <v>1</v>
      </c>
    </row>
    <row r="50" spans="1:2" x14ac:dyDescent="0.3">
      <c r="A50" s="4">
        <v>42421</v>
      </c>
      <c r="B50" s="13">
        <v>1</v>
      </c>
    </row>
    <row r="51" spans="1:2" x14ac:dyDescent="0.3">
      <c r="A51" s="4">
        <v>42442</v>
      </c>
      <c r="B51" s="13">
        <v>1</v>
      </c>
    </row>
    <row r="52" spans="1:2" x14ac:dyDescent="0.3">
      <c r="A52" s="4">
        <v>42449</v>
      </c>
      <c r="B52" s="13">
        <v>1</v>
      </c>
    </row>
    <row r="53" spans="1:2" x14ac:dyDescent="0.3">
      <c r="A53" s="4">
        <v>42456</v>
      </c>
      <c r="B53" s="13">
        <v>1</v>
      </c>
    </row>
    <row r="54" spans="1:2" x14ac:dyDescent="0.3">
      <c r="A54" s="4">
        <v>42463</v>
      </c>
      <c r="B54" s="13">
        <v>1</v>
      </c>
    </row>
    <row r="55" spans="1:2" x14ac:dyDescent="0.3">
      <c r="A55" s="4">
        <v>42477</v>
      </c>
      <c r="B55" s="13">
        <v>1</v>
      </c>
    </row>
    <row r="56" spans="1:2" x14ac:dyDescent="0.3">
      <c r="A56" s="4">
        <v>42484</v>
      </c>
      <c r="B56" s="13">
        <v>1</v>
      </c>
    </row>
    <row r="57" spans="1:2" x14ac:dyDescent="0.3">
      <c r="A57" s="4">
        <v>42491</v>
      </c>
      <c r="B57" s="13">
        <v>1</v>
      </c>
    </row>
    <row r="58" spans="1:2" x14ac:dyDescent="0.3">
      <c r="A58" s="4">
        <v>42505</v>
      </c>
      <c r="B58" s="13">
        <v>1</v>
      </c>
    </row>
    <row r="59" spans="1:2" x14ac:dyDescent="0.3">
      <c r="A59" s="4">
        <v>42512</v>
      </c>
      <c r="B59" s="13">
        <v>1</v>
      </c>
    </row>
    <row r="60" spans="1:2" x14ac:dyDescent="0.3">
      <c r="A60" s="4">
        <v>42519</v>
      </c>
      <c r="B60" s="13">
        <v>1</v>
      </c>
    </row>
    <row r="61" spans="1:2" x14ac:dyDescent="0.3">
      <c r="A61" s="4">
        <v>42540</v>
      </c>
      <c r="B61" s="13">
        <v>1</v>
      </c>
    </row>
    <row r="62" spans="1:2" x14ac:dyDescent="0.3">
      <c r="A62" s="4">
        <v>42561</v>
      </c>
      <c r="B62" s="13">
        <v>1</v>
      </c>
    </row>
    <row r="63" spans="1:2" x14ac:dyDescent="0.3">
      <c r="A63" s="4">
        <v>42575</v>
      </c>
      <c r="B63" s="13">
        <v>1</v>
      </c>
    </row>
    <row r="64" spans="1:2" x14ac:dyDescent="0.3">
      <c r="A64" s="4">
        <v>42582</v>
      </c>
      <c r="B64" s="13">
        <v>1</v>
      </c>
    </row>
    <row r="65" spans="1:2" x14ac:dyDescent="0.3">
      <c r="A65" s="4">
        <v>42589</v>
      </c>
      <c r="B65" s="13">
        <v>1</v>
      </c>
    </row>
    <row r="66" spans="1:2" x14ac:dyDescent="0.3">
      <c r="A66" s="4">
        <v>42596</v>
      </c>
      <c r="B66" s="13">
        <v>1</v>
      </c>
    </row>
    <row r="67" spans="1:2" x14ac:dyDescent="0.3">
      <c r="A67" s="4">
        <v>42610</v>
      </c>
      <c r="B67" s="13">
        <v>1</v>
      </c>
    </row>
    <row r="68" spans="1:2" x14ac:dyDescent="0.3">
      <c r="A68" s="4">
        <v>42617</v>
      </c>
      <c r="B68" s="13">
        <v>1</v>
      </c>
    </row>
    <row r="69" spans="1:2" x14ac:dyDescent="0.3">
      <c r="A69" s="4">
        <v>42645</v>
      </c>
      <c r="B69" s="13">
        <v>1</v>
      </c>
    </row>
    <row r="70" spans="1:2" x14ac:dyDescent="0.3">
      <c r="A70" s="4">
        <v>42666</v>
      </c>
      <c r="B70" s="13">
        <v>1</v>
      </c>
    </row>
    <row r="71" spans="1:2" x14ac:dyDescent="0.3">
      <c r="A71" s="4">
        <v>42673</v>
      </c>
      <c r="B71" s="13">
        <v>1</v>
      </c>
    </row>
    <row r="72" spans="1:2" x14ac:dyDescent="0.3">
      <c r="A72" s="4">
        <v>42680</v>
      </c>
      <c r="B72" s="13">
        <v>1</v>
      </c>
    </row>
    <row r="73" spans="1:2" x14ac:dyDescent="0.3">
      <c r="A73" s="4">
        <v>42687</v>
      </c>
      <c r="B73" s="13">
        <v>1</v>
      </c>
    </row>
    <row r="74" spans="1:2" x14ac:dyDescent="0.3">
      <c r="A74" s="4">
        <v>42694</v>
      </c>
      <c r="B74" s="13">
        <v>1</v>
      </c>
    </row>
    <row r="75" spans="1:2" x14ac:dyDescent="0.3">
      <c r="A75" s="4">
        <v>42701</v>
      </c>
      <c r="B75" s="13">
        <v>1</v>
      </c>
    </row>
    <row r="76" spans="1:2" x14ac:dyDescent="0.3">
      <c r="A76" s="4">
        <v>42715</v>
      </c>
      <c r="B76" s="13">
        <v>1</v>
      </c>
    </row>
    <row r="77" spans="1:2" x14ac:dyDescent="0.3">
      <c r="A77" s="4">
        <v>42722</v>
      </c>
      <c r="B77" s="13">
        <v>1</v>
      </c>
    </row>
    <row r="78" spans="1:2" x14ac:dyDescent="0.3">
      <c r="A78" s="4">
        <v>42757</v>
      </c>
      <c r="B78" s="13">
        <v>1</v>
      </c>
    </row>
    <row r="79" spans="1:2" x14ac:dyDescent="0.3">
      <c r="A79" s="4">
        <v>42785</v>
      </c>
      <c r="B79" s="13">
        <v>1</v>
      </c>
    </row>
    <row r="80" spans="1:2" x14ac:dyDescent="0.3">
      <c r="A80" s="4">
        <v>42792</v>
      </c>
      <c r="B80" s="13">
        <v>1</v>
      </c>
    </row>
    <row r="81" spans="1:2" x14ac:dyDescent="0.3">
      <c r="A81" s="4">
        <v>42799</v>
      </c>
      <c r="B81" s="13">
        <v>1</v>
      </c>
    </row>
    <row r="82" spans="1:2" x14ac:dyDescent="0.3">
      <c r="A82" s="4">
        <v>42806</v>
      </c>
      <c r="B82" s="13">
        <v>1</v>
      </c>
    </row>
    <row r="83" spans="1:2" x14ac:dyDescent="0.3">
      <c r="A83" s="4">
        <v>42813</v>
      </c>
      <c r="B83" s="13">
        <v>1</v>
      </c>
    </row>
    <row r="84" spans="1:2" x14ac:dyDescent="0.3">
      <c r="A84" s="4">
        <v>42820</v>
      </c>
      <c r="B84" s="13">
        <v>1</v>
      </c>
    </row>
    <row r="85" spans="1:2" x14ac:dyDescent="0.3">
      <c r="A85" s="4">
        <v>42834</v>
      </c>
      <c r="B85" s="13">
        <v>1</v>
      </c>
    </row>
    <row r="86" spans="1:2" x14ac:dyDescent="0.3">
      <c r="A86" s="4">
        <v>42841</v>
      </c>
      <c r="B86" s="13">
        <v>1</v>
      </c>
    </row>
    <row r="87" spans="1:2" x14ac:dyDescent="0.3">
      <c r="A87" s="4">
        <v>42855</v>
      </c>
      <c r="B87" s="13">
        <v>1</v>
      </c>
    </row>
    <row r="88" spans="1:2" x14ac:dyDescent="0.3">
      <c r="A88" s="4">
        <v>42862</v>
      </c>
      <c r="B88" s="13">
        <v>1</v>
      </c>
    </row>
    <row r="89" spans="1:2" x14ac:dyDescent="0.3">
      <c r="A89" s="4">
        <v>42897</v>
      </c>
      <c r="B89" s="13">
        <v>1</v>
      </c>
    </row>
    <row r="90" spans="1:2" x14ac:dyDescent="0.3">
      <c r="A90" s="4">
        <v>42904</v>
      </c>
      <c r="B90" s="13">
        <v>1</v>
      </c>
    </row>
    <row r="91" spans="1:2" x14ac:dyDescent="0.3">
      <c r="A91" s="4">
        <v>42925</v>
      </c>
      <c r="B91" s="13">
        <v>1</v>
      </c>
    </row>
    <row r="92" spans="1:2" x14ac:dyDescent="0.3">
      <c r="A92" s="4">
        <v>42932</v>
      </c>
      <c r="B92" s="13">
        <v>1</v>
      </c>
    </row>
    <row r="93" spans="1:2" x14ac:dyDescent="0.3">
      <c r="A93" s="4">
        <v>42939</v>
      </c>
      <c r="B93" s="13">
        <v>1</v>
      </c>
    </row>
    <row r="94" spans="1:2" x14ac:dyDescent="0.3">
      <c r="A94" s="4">
        <v>42946</v>
      </c>
      <c r="B94" s="13">
        <v>1</v>
      </c>
    </row>
    <row r="95" spans="1:2" x14ac:dyDescent="0.3">
      <c r="A95" s="4">
        <v>42960</v>
      </c>
      <c r="B95" s="13">
        <v>1</v>
      </c>
    </row>
    <row r="96" spans="1:2" x14ac:dyDescent="0.3">
      <c r="A96" s="4">
        <v>42967</v>
      </c>
      <c r="B96" s="13">
        <v>1</v>
      </c>
    </row>
    <row r="97" spans="1:2" x14ac:dyDescent="0.3">
      <c r="A97" s="4">
        <v>42974</v>
      </c>
      <c r="B97" s="13">
        <v>1</v>
      </c>
    </row>
    <row r="98" spans="1:2" x14ac:dyDescent="0.3">
      <c r="A98" s="4">
        <v>42995</v>
      </c>
      <c r="B98" s="13">
        <v>1</v>
      </c>
    </row>
    <row r="99" spans="1:2" x14ac:dyDescent="0.3">
      <c r="A99" s="4">
        <v>43009</v>
      </c>
      <c r="B99" s="13">
        <v>1</v>
      </c>
    </row>
    <row r="100" spans="1:2" x14ac:dyDescent="0.3">
      <c r="A100" s="4">
        <v>43023</v>
      </c>
      <c r="B100" s="13">
        <v>1</v>
      </c>
    </row>
    <row r="101" spans="1:2" x14ac:dyDescent="0.3">
      <c r="A101" s="4">
        <v>43030</v>
      </c>
      <c r="B101" s="13">
        <v>1</v>
      </c>
    </row>
    <row r="102" spans="1:2" x14ac:dyDescent="0.3">
      <c r="A102" s="4">
        <v>43037</v>
      </c>
      <c r="B102" s="13">
        <v>1</v>
      </c>
    </row>
    <row r="103" spans="1:2" x14ac:dyDescent="0.3">
      <c r="A103" s="4">
        <v>43051</v>
      </c>
      <c r="B103" s="13">
        <v>1</v>
      </c>
    </row>
    <row r="104" spans="1:2" x14ac:dyDescent="0.3">
      <c r="A104" s="4" t="s">
        <v>180</v>
      </c>
      <c r="B104" s="13">
        <v>85</v>
      </c>
    </row>
    <row r="110" spans="1:2" x14ac:dyDescent="0.3">
      <c r="B110">
        <f>GETPIVOTDATA("Employee ID",$A$3)</f>
        <v>85</v>
      </c>
    </row>
    <row r="111" spans="1:2" x14ac:dyDescent="0.3">
      <c r="B111" t="str">
        <f>INDEX(A10:A14,MATCH(MAX(B10:B14),B10:B14,0))</f>
        <v>Sales</v>
      </c>
    </row>
    <row r="112" spans="1:2" x14ac:dyDescent="0.3">
      <c r="B112" s="10">
        <f>GETPIVOTDATA("Salary",$G$11)</f>
        <v>99621</v>
      </c>
    </row>
  </sheetData>
  <pageMargins left="0.7" right="0.7" top="0.75" bottom="0.75" header="0.3" footer="0.3"/>
  <pageSetup paperSize="0"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F16:AG21"/>
  <sheetViews>
    <sheetView tabSelected="1" topLeftCell="A49" zoomScale="55" zoomScaleNormal="55" workbookViewId="0">
      <selection activeCell="AQ29" sqref="AQ29"/>
    </sheetView>
  </sheetViews>
  <sheetFormatPr defaultColWidth="9.109375" defaultRowHeight="14.4" x14ac:dyDescent="0.3"/>
  <cols>
    <col min="1" max="16384" width="9.109375" style="11"/>
  </cols>
  <sheetData>
    <row r="16" spans="33:33" x14ac:dyDescent="0.3">
      <c r="AG16" s="12"/>
    </row>
    <row r="21" spans="32:32" x14ac:dyDescent="0.3">
      <c r="AF21" s="12"/>
    </row>
  </sheetData>
  <pageMargins left="0.7" right="0.7" top="0.75" bottom="0.75" header="0.3" footer="0.3"/>
  <pageSetup paperSize="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Pivot_Table</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ACP</dc:creator>
  <cp:keywords/>
  <dc:description/>
  <cp:lastModifiedBy>HP</cp:lastModifiedBy>
  <cp:revision/>
  <dcterms:created xsi:type="dcterms:W3CDTF">2025-05-31T18:11:07Z</dcterms:created>
  <dcterms:modified xsi:type="dcterms:W3CDTF">2026-05-16T10:27:35Z</dcterms:modified>
  <cp:category/>
  <cp:contentStatus/>
</cp:coreProperties>
</file>